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jpeg"/><Relationship Id="rId4" Type="http://schemas.openxmlformats.org/package/2006/relationships/metadata/core-properties" Target="docProps/core.xml"/><Relationship Id="rId5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c/Desktop/Investment/case 1/Solution_Excel/"/>
    </mc:Choice>
  </mc:AlternateContent>
  <bookViews>
    <workbookView xWindow="0" yWindow="0" windowWidth="25600" windowHeight="16000" tabRatio="500"/>
  </bookViews>
  <sheets>
    <sheet name="3种资产的组合" sheetId="2" r:id="rId1"/>
    <sheet name="加入REITs" sheetId="3" r:id="rId2"/>
    <sheet name="加入Commodities" sheetId="4" r:id="rId3"/>
    <sheet name="5种资产的组合" sheetId="1" r:id="rId4"/>
    <sheet name="各种资产对比" sheetId="5" r:id="rId5"/>
  </sheets>
  <definedNames>
    <definedName name="solver_adj" localSheetId="0" hidden="1">'3种资产的组合'!$B$111:$D$111</definedName>
    <definedName name="solver_adj" localSheetId="2" hidden="1">加入Commodities!$B$110:$E$110</definedName>
    <definedName name="solver_adj" localSheetId="1" hidden="1">加入REITs!$B$110:$E$110</definedName>
    <definedName name="solver_cvg" localSheetId="3" hidden="1">0.0001</definedName>
    <definedName name="solver_cvg" localSheetId="2" hidden="1">0.0001</definedName>
    <definedName name="solver_drv" localSheetId="3" hidden="1">1</definedName>
    <definedName name="solver_drv" localSheetId="2" hidden="1">1</definedName>
    <definedName name="solver_eng" localSheetId="0" hidden="1">1</definedName>
    <definedName name="solver_eng" localSheetId="3" hidden="1">1</definedName>
    <definedName name="solver_eng" localSheetId="2" hidden="1">1</definedName>
    <definedName name="solver_eng" localSheetId="1" hidden="1">1</definedName>
    <definedName name="solver_itr" localSheetId="3" hidden="1">100</definedName>
    <definedName name="solver_itr" localSheetId="2" hidden="1">2147483647</definedName>
    <definedName name="solver_lhs1" localSheetId="0" hidden="1">'3种资产的组合'!$B$111:$D$111</definedName>
    <definedName name="solver_lhs1" localSheetId="3" hidden="1">'5种资产的组合'!$B$122:$F$122</definedName>
    <definedName name="solver_lhs1" localSheetId="2" hidden="1">加入Commodities!$B$110:$E$110</definedName>
    <definedName name="solver_lhs1" localSheetId="1" hidden="1">加入REITs!$B$110:$E$110</definedName>
    <definedName name="solver_lhs10" localSheetId="3" hidden="1">'5种资产的组合'!$J$23</definedName>
    <definedName name="solver_lhs10" localSheetId="2" hidden="1">加入Commodities!$B$12:$E$12</definedName>
    <definedName name="solver_lhs11" localSheetId="2" hidden="1">加入Commodities!$F$12</definedName>
    <definedName name="solver_lhs12" localSheetId="2" hidden="1">加入Commodities!$I$12</definedName>
    <definedName name="solver_lhs13" localSheetId="2" hidden="1">加入Commodities!$B$13:$E$13</definedName>
    <definedName name="solver_lhs14" localSheetId="2" hidden="1">加入Commodities!$B$13:$E$13</definedName>
    <definedName name="solver_lhs15" localSheetId="2" hidden="1">加入Commodities!$F$13</definedName>
    <definedName name="solver_lhs16" localSheetId="2" hidden="1">加入Commodities!$I$13</definedName>
    <definedName name="solver_lhs2" localSheetId="0" hidden="1">'3种资产的组合'!$B$111:$D$111</definedName>
    <definedName name="solver_lhs2" localSheetId="3" hidden="1">'5种资产的组合'!$B$122:$F$122</definedName>
    <definedName name="solver_lhs2" localSheetId="2" hidden="1">加入Commodities!$B$110:$E$110</definedName>
    <definedName name="solver_lhs2" localSheetId="1" hidden="1">加入REITs!$B$110:$E$110</definedName>
    <definedName name="solver_lhs3" localSheetId="0" hidden="1">'3种资产的组合'!$E$111</definedName>
    <definedName name="solver_lhs3" localSheetId="3" hidden="1">'5种资产的组合'!$G$122</definedName>
    <definedName name="solver_lhs3" localSheetId="2" hidden="1">加入Commodities!$F$110</definedName>
    <definedName name="solver_lhs3" localSheetId="1" hidden="1">加入REITs!$F$110</definedName>
    <definedName name="solver_lhs4" localSheetId="0" hidden="1">'3种资产的组合'!$H$111</definedName>
    <definedName name="solver_lhs4" localSheetId="3" hidden="1">'5种资产的组合'!$J$122</definedName>
    <definedName name="solver_lhs4" localSheetId="2" hidden="1">加入Commodities!$I$110</definedName>
    <definedName name="solver_lhs4" localSheetId="1" hidden="1">加入REITs!$I$110</definedName>
    <definedName name="solver_lhs5" localSheetId="3" hidden="1">'5种资产的组合'!$B$23:$F$23</definedName>
    <definedName name="solver_lhs5" localSheetId="2" hidden="1">加入Commodities!$B$11:$E$11</definedName>
    <definedName name="solver_lhs6" localSheetId="3" hidden="1">'5种资产的组合'!$G$23</definedName>
    <definedName name="solver_lhs6" localSheetId="2" hidden="1">加入Commodities!$B$11:$E$11</definedName>
    <definedName name="solver_lhs7" localSheetId="3" hidden="1">'5种资产的组合'!$B$23:$F$23</definedName>
    <definedName name="solver_lhs7" localSheetId="2" hidden="1">加入Commodities!$F$11</definedName>
    <definedName name="solver_lhs8" localSheetId="3" hidden="1">'5种资产的组合'!$B$23:$F$23</definedName>
    <definedName name="solver_lhs8" localSheetId="2" hidden="1">加入Commodities!$I$11</definedName>
    <definedName name="solver_lhs9" localSheetId="3" hidden="1">'5种资产的组合'!$G$23</definedName>
    <definedName name="solver_lhs9" localSheetId="2" hidden="1">加入Commodities!$B$12:$E$12</definedName>
    <definedName name="solver_lin" localSheetId="0" hidden="1">2</definedName>
    <definedName name="solver_lin" localSheetId="3" hidden="1">2</definedName>
    <definedName name="solver_lin" localSheetId="2" hidden="1">2</definedName>
    <definedName name="solver_lin" localSheetId="1" hidden="1">2</definedName>
    <definedName name="solver_mip" localSheetId="3" hidden="1">2147483647</definedName>
    <definedName name="solver_mip" localSheetId="2" hidden="1">2147483647</definedName>
    <definedName name="solver_mni" localSheetId="3" hidden="1">30</definedName>
    <definedName name="solver_mni" localSheetId="2" hidden="1">30</definedName>
    <definedName name="solver_mrt" localSheetId="3" hidden="1">0.075</definedName>
    <definedName name="solver_mrt" localSheetId="2" hidden="1">0.075</definedName>
    <definedName name="solver_msl" localSheetId="3" hidden="1">2</definedName>
    <definedName name="solver_msl" localSheetId="2" hidden="1">2</definedName>
    <definedName name="solver_neg" localSheetId="0" hidden="1">1</definedName>
    <definedName name="solver_neg" localSheetId="3" hidden="1">1</definedName>
    <definedName name="solver_neg" localSheetId="2" hidden="1">1</definedName>
    <definedName name="solver_neg" localSheetId="1" hidden="1">1</definedName>
    <definedName name="solver_nod" localSheetId="3" hidden="1">2147483647</definedName>
    <definedName name="solver_nod" localSheetId="2" hidden="1">2147483647</definedName>
    <definedName name="solver_num" localSheetId="0" hidden="1">4</definedName>
    <definedName name="solver_num" localSheetId="3" hidden="1">0</definedName>
    <definedName name="solver_num" localSheetId="2" hidden="1">4</definedName>
    <definedName name="solver_num" localSheetId="1" hidden="1">4</definedName>
    <definedName name="solver_opt" localSheetId="0" hidden="1">'3种资产的组合'!$G$111</definedName>
    <definedName name="solver_opt" localSheetId="3" hidden="1">'5种资产的组合'!$A$21</definedName>
    <definedName name="solver_opt" localSheetId="2" hidden="1">加入Commodities!$H$110</definedName>
    <definedName name="solver_opt" localSheetId="1" hidden="1">加入REITs!$H$110</definedName>
    <definedName name="solver_pre" localSheetId="3" hidden="1">0.000001</definedName>
    <definedName name="solver_pre" localSheetId="2" hidden="1">0.000001</definedName>
    <definedName name="solver_rbv" localSheetId="3" hidden="1">1</definedName>
    <definedName name="solver_rbv" localSheetId="2" hidden="1">1</definedName>
    <definedName name="solver_rel1" localSheetId="0" hidden="1">1</definedName>
    <definedName name="solver_rel1" localSheetId="3" hidden="1">1</definedName>
    <definedName name="solver_rel1" localSheetId="2" hidden="1">1</definedName>
    <definedName name="solver_rel1" localSheetId="1" hidden="1">1</definedName>
    <definedName name="solver_rel10" localSheetId="3" hidden="1">2</definedName>
    <definedName name="solver_rel10" localSheetId="2" hidden="1">3</definedName>
    <definedName name="solver_rel11" localSheetId="2" hidden="1">2</definedName>
    <definedName name="solver_rel12" localSheetId="2" hidden="1">2</definedName>
    <definedName name="solver_rel13" localSheetId="2" hidden="1">1</definedName>
    <definedName name="solver_rel14" localSheetId="2" hidden="1">3</definedName>
    <definedName name="solver_rel15" localSheetId="2" hidden="1">2</definedName>
    <definedName name="solver_rel16" localSheetId="2" hidden="1">2</definedName>
    <definedName name="solver_rel2" localSheetId="0" hidden="1">3</definedName>
    <definedName name="solver_rel2" localSheetId="3" hidden="1">3</definedName>
    <definedName name="solver_rel2" localSheetId="2" hidden="1">3</definedName>
    <definedName name="solver_rel2" localSheetId="1" hidden="1">3</definedName>
    <definedName name="solver_rel3" localSheetId="0" hidden="1">2</definedName>
    <definedName name="solver_rel3" localSheetId="3" hidden="1">2</definedName>
    <definedName name="solver_rel3" localSheetId="2" hidden="1">2</definedName>
    <definedName name="solver_rel3" localSheetId="1" hidden="1">2</definedName>
    <definedName name="solver_rel4" localSheetId="0" hidden="1">2</definedName>
    <definedName name="solver_rel4" localSheetId="3" hidden="1">2</definedName>
    <definedName name="solver_rel4" localSheetId="2" hidden="1">2</definedName>
    <definedName name="solver_rel4" localSheetId="1" hidden="1">2</definedName>
    <definedName name="solver_rel5" localSheetId="3" hidden="1">1</definedName>
    <definedName name="solver_rel5" localSheetId="2" hidden="1">1</definedName>
    <definedName name="solver_rel6" localSheetId="3" hidden="1">2</definedName>
    <definedName name="solver_rel6" localSheetId="2" hidden="1">3</definedName>
    <definedName name="solver_rel7" localSheetId="3" hidden="1">1</definedName>
    <definedName name="solver_rel7" localSheetId="2" hidden="1">2</definedName>
    <definedName name="solver_rel8" localSheetId="3" hidden="1">3</definedName>
    <definedName name="solver_rel8" localSheetId="2" hidden="1">2</definedName>
    <definedName name="solver_rel9" localSheetId="3" hidden="1">2</definedName>
    <definedName name="solver_rel9" localSheetId="2" hidden="1">1</definedName>
    <definedName name="solver_rhs1" localSheetId="0" hidden="1">1</definedName>
    <definedName name="solver_rhs1" localSheetId="3" hidden="1">1</definedName>
    <definedName name="solver_rhs1" localSheetId="2" hidden="1">1</definedName>
    <definedName name="solver_rhs1" localSheetId="1" hidden="1">1</definedName>
    <definedName name="solver_rhs10" localSheetId="3" hidden="1">'5种资产的组合'!$H$23</definedName>
    <definedName name="solver_rhs10" localSheetId="2" hidden="1">0</definedName>
    <definedName name="solver_rhs11" localSheetId="2" hidden="1">1</definedName>
    <definedName name="solver_rhs12" localSheetId="2" hidden="1">0.0557</definedName>
    <definedName name="solver_rhs13" localSheetId="2" hidden="1">1</definedName>
    <definedName name="solver_rhs14" localSheetId="2" hidden="1">0</definedName>
    <definedName name="solver_rhs15" localSheetId="2" hidden="1">1</definedName>
    <definedName name="solver_rhs16" localSheetId="2" hidden="1">0.0564</definedName>
    <definedName name="solver_rhs2" localSheetId="0" hidden="1">0</definedName>
    <definedName name="solver_rhs2" localSheetId="3" hidden="1">0</definedName>
    <definedName name="solver_rhs2" localSheetId="2" hidden="1">0</definedName>
    <definedName name="solver_rhs2" localSheetId="1" hidden="1">0</definedName>
    <definedName name="solver_rhs3" localSheetId="0" hidden="1">1</definedName>
    <definedName name="solver_rhs3" localSheetId="3" hidden="1">1</definedName>
    <definedName name="solver_rhs3" localSheetId="2" hidden="1">1</definedName>
    <definedName name="solver_rhs3" localSheetId="1" hidden="1">1</definedName>
    <definedName name="solver_rhs4" localSheetId="0" hidden="1">0.128</definedName>
    <definedName name="solver_rhs4" localSheetId="3" hidden="1">0.124300000000001</definedName>
    <definedName name="solver_rhs4" localSheetId="2" hidden="1">0.124300000000001</definedName>
    <definedName name="solver_rhs4" localSheetId="1" hidden="1">0.124300000000001</definedName>
    <definedName name="solver_rhs5" localSheetId="3" hidden="1">1</definedName>
    <definedName name="solver_rhs5" localSheetId="2" hidden="1">1</definedName>
    <definedName name="solver_rhs6" localSheetId="3" hidden="1">1</definedName>
    <definedName name="solver_rhs6" localSheetId="2" hidden="1">0</definedName>
    <definedName name="solver_rhs7" localSheetId="3" hidden="1">1</definedName>
    <definedName name="solver_rhs7" localSheetId="2" hidden="1">1</definedName>
    <definedName name="solver_rhs8" localSheetId="3" hidden="1">0</definedName>
    <definedName name="solver_rhs8" localSheetId="2" hidden="1">0.055</definedName>
    <definedName name="solver_rhs9" localSheetId="3" hidden="1">1</definedName>
    <definedName name="solver_rhs9" localSheetId="2" hidden="1">1</definedName>
    <definedName name="solver_rlx" localSheetId="3" hidden="1">1</definedName>
    <definedName name="solver_rlx" localSheetId="2" hidden="1">2</definedName>
    <definedName name="solver_rsd" localSheetId="3" hidden="1">0</definedName>
    <definedName name="solver_rsd" localSheetId="2" hidden="1">0</definedName>
    <definedName name="solver_scl" localSheetId="3" hidden="1">2</definedName>
    <definedName name="solver_scl" localSheetId="2" hidden="1">1</definedName>
    <definedName name="solver_sho" localSheetId="3" hidden="1">2</definedName>
    <definedName name="solver_sho" localSheetId="2" hidden="1">2</definedName>
    <definedName name="solver_ssz" localSheetId="3" hidden="1">100</definedName>
    <definedName name="solver_ssz" localSheetId="2" hidden="1">100</definedName>
    <definedName name="solver_tim" localSheetId="3" hidden="1">2147483647</definedName>
    <definedName name="solver_tim" localSheetId="2" hidden="1">2147483647</definedName>
    <definedName name="solver_tol" localSheetId="3" hidden="1">0.01</definedName>
    <definedName name="solver_tol" localSheetId="2" hidden="1">0.01</definedName>
    <definedName name="solver_typ" localSheetId="0" hidden="1">2</definedName>
    <definedName name="solver_typ" localSheetId="3" hidden="1">1</definedName>
    <definedName name="solver_typ" localSheetId="2" hidden="1">2</definedName>
    <definedName name="solver_typ" localSheetId="1" hidden="1">2</definedName>
    <definedName name="solver_val" localSheetId="0" hidden="1">0</definedName>
    <definedName name="solver_val" localSheetId="3" hidden="1">0</definedName>
    <definedName name="solver_val" localSheetId="2" hidden="1">0</definedName>
    <definedName name="solver_val" localSheetId="1" hidden="1">0</definedName>
    <definedName name="solver_ver" localSheetId="0" hidden="1">2</definedName>
    <definedName name="solver_ver" localSheetId="3" hidden="1">2</definedName>
    <definedName name="solver_ver" localSheetId="2" hidden="1">2</definedName>
    <definedName name="solver_ver" localSheetId="1" hidden="1">2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2" i="4" l="1" a="1"/>
  <c r="H12" i="4"/>
  <c r="I12" i="4" a="1"/>
  <c r="I12" i="4"/>
  <c r="H13" i="4" a="1"/>
  <c r="H13" i="4"/>
  <c r="I13" i="4" a="1"/>
  <c r="I13" i="4"/>
  <c r="H14" i="4" a="1"/>
  <c r="H14" i="4"/>
  <c r="I14" i="4" a="1"/>
  <c r="I14" i="4"/>
  <c r="H15" i="4" a="1"/>
  <c r="H15" i="4"/>
  <c r="I15" i="4" a="1"/>
  <c r="I15" i="4"/>
  <c r="H16" i="4" a="1"/>
  <c r="H16" i="4"/>
  <c r="I16" i="4" a="1"/>
  <c r="I16" i="4"/>
  <c r="H17" i="4" a="1"/>
  <c r="H17" i="4"/>
  <c r="I17" i="4" a="1"/>
  <c r="I17" i="4"/>
  <c r="H18" i="4" a="1"/>
  <c r="H18" i="4"/>
  <c r="I18" i="4" a="1"/>
  <c r="I18" i="4"/>
  <c r="H19" i="4" a="1"/>
  <c r="H19" i="4"/>
  <c r="I19" i="4" a="1"/>
  <c r="I19" i="4"/>
  <c r="H20" i="4" a="1"/>
  <c r="H20" i="4"/>
  <c r="I20" i="4" a="1"/>
  <c r="I20" i="4"/>
  <c r="H21" i="4" a="1"/>
  <c r="H21" i="4"/>
  <c r="I21" i="4" a="1"/>
  <c r="I21" i="4"/>
  <c r="H22" i="4" a="1"/>
  <c r="H22" i="4"/>
  <c r="I22" i="4" a="1"/>
  <c r="I22" i="4"/>
  <c r="H23" i="4" a="1"/>
  <c r="H23" i="4"/>
  <c r="I23" i="4" a="1"/>
  <c r="I23" i="4"/>
  <c r="H24" i="4" a="1"/>
  <c r="H24" i="4"/>
  <c r="I24" i="4" a="1"/>
  <c r="I24" i="4"/>
  <c r="H25" i="4" a="1"/>
  <c r="H25" i="4"/>
  <c r="I25" i="4" a="1"/>
  <c r="I25" i="4"/>
  <c r="H26" i="4" a="1"/>
  <c r="H26" i="4"/>
  <c r="I26" i="4" a="1"/>
  <c r="I26" i="4"/>
  <c r="H27" i="4" a="1"/>
  <c r="H27" i="4"/>
  <c r="I27" i="4" a="1"/>
  <c r="I27" i="4"/>
  <c r="H28" i="4" a="1"/>
  <c r="H28" i="4"/>
  <c r="I28" i="4" a="1"/>
  <c r="I28" i="4"/>
  <c r="H29" i="4" a="1"/>
  <c r="H29" i="4"/>
  <c r="I29" i="4" a="1"/>
  <c r="I29" i="4"/>
  <c r="H30" i="4" a="1"/>
  <c r="H30" i="4"/>
  <c r="I30" i="4" a="1"/>
  <c r="I30" i="4"/>
  <c r="H31" i="4" a="1"/>
  <c r="H31" i="4"/>
  <c r="I31" i="4" a="1"/>
  <c r="I31" i="4"/>
  <c r="H32" i="4" a="1"/>
  <c r="H32" i="4"/>
  <c r="I32" i="4" a="1"/>
  <c r="I32" i="4"/>
  <c r="H33" i="4" a="1"/>
  <c r="H33" i="4"/>
  <c r="I33" i="4" a="1"/>
  <c r="I33" i="4"/>
  <c r="H34" i="4" a="1"/>
  <c r="H34" i="4"/>
  <c r="I34" i="4" a="1"/>
  <c r="I34" i="4"/>
  <c r="H35" i="4" a="1"/>
  <c r="H35" i="4"/>
  <c r="I35" i="4" a="1"/>
  <c r="I35" i="4"/>
  <c r="H36" i="4" a="1"/>
  <c r="H36" i="4"/>
  <c r="I36" i="4" a="1"/>
  <c r="I36" i="4"/>
  <c r="H37" i="4" a="1"/>
  <c r="H37" i="4"/>
  <c r="I37" i="4" a="1"/>
  <c r="I37" i="4"/>
  <c r="H38" i="4" a="1"/>
  <c r="H38" i="4"/>
  <c r="I38" i="4" a="1"/>
  <c r="I38" i="4"/>
  <c r="H39" i="4" a="1"/>
  <c r="H39" i="4"/>
  <c r="I39" i="4" a="1"/>
  <c r="I39" i="4"/>
  <c r="H40" i="4" a="1"/>
  <c r="H40" i="4"/>
  <c r="I40" i="4" a="1"/>
  <c r="I40" i="4"/>
  <c r="H41" i="4" a="1"/>
  <c r="H41" i="4"/>
  <c r="I41" i="4" a="1"/>
  <c r="I41" i="4"/>
  <c r="H42" i="4" a="1"/>
  <c r="H42" i="4"/>
  <c r="I42" i="4" a="1"/>
  <c r="I42" i="4"/>
  <c r="H43" i="4" a="1"/>
  <c r="H43" i="4"/>
  <c r="I43" i="4" a="1"/>
  <c r="I43" i="4"/>
  <c r="H44" i="4" a="1"/>
  <c r="H44" i="4"/>
  <c r="I44" i="4" a="1"/>
  <c r="I44" i="4"/>
  <c r="H45" i="4" a="1"/>
  <c r="H45" i="4"/>
  <c r="I45" i="4" a="1"/>
  <c r="I45" i="4"/>
  <c r="H46" i="4" a="1"/>
  <c r="H46" i="4"/>
  <c r="I46" i="4" a="1"/>
  <c r="I46" i="4"/>
  <c r="H47" i="4" a="1"/>
  <c r="H47" i="4"/>
  <c r="I47" i="4" a="1"/>
  <c r="I47" i="4"/>
  <c r="H48" i="4" a="1"/>
  <c r="H48" i="4"/>
  <c r="I48" i="4" a="1"/>
  <c r="I48" i="4"/>
  <c r="H49" i="4" a="1"/>
  <c r="H49" i="4"/>
  <c r="I49" i="4" a="1"/>
  <c r="I49" i="4"/>
  <c r="H50" i="4" a="1"/>
  <c r="H50" i="4"/>
  <c r="I50" i="4" a="1"/>
  <c r="I50" i="4"/>
  <c r="H51" i="4" a="1"/>
  <c r="H51" i="4"/>
  <c r="I51" i="4" a="1"/>
  <c r="I51" i="4"/>
  <c r="H52" i="4" a="1"/>
  <c r="H52" i="4"/>
  <c r="I52" i="4" a="1"/>
  <c r="I52" i="4"/>
  <c r="H53" i="4" a="1"/>
  <c r="H53" i="4"/>
  <c r="I53" i="4" a="1"/>
  <c r="I53" i="4"/>
  <c r="H54" i="4" a="1"/>
  <c r="H54" i="4"/>
  <c r="I54" i="4" a="1"/>
  <c r="I54" i="4"/>
  <c r="H55" i="4" a="1"/>
  <c r="H55" i="4"/>
  <c r="I55" i="4" a="1"/>
  <c r="I55" i="4"/>
  <c r="H56" i="4" a="1"/>
  <c r="H56" i="4"/>
  <c r="I56" i="4" a="1"/>
  <c r="I56" i="4"/>
  <c r="H57" i="4" a="1"/>
  <c r="H57" i="4"/>
  <c r="I57" i="4" a="1"/>
  <c r="I57" i="4"/>
  <c r="H58" i="4" a="1"/>
  <c r="H58" i="4"/>
  <c r="I58" i="4" a="1"/>
  <c r="I58" i="4"/>
  <c r="H59" i="4" a="1"/>
  <c r="H59" i="4"/>
  <c r="I59" i="4" a="1"/>
  <c r="I59" i="4"/>
  <c r="H60" i="4" a="1"/>
  <c r="H60" i="4"/>
  <c r="I60" i="4" a="1"/>
  <c r="I60" i="4"/>
  <c r="H61" i="4" a="1"/>
  <c r="H61" i="4"/>
  <c r="I61" i="4" a="1"/>
  <c r="I61" i="4"/>
  <c r="H62" i="4" a="1"/>
  <c r="H62" i="4"/>
  <c r="I62" i="4" a="1"/>
  <c r="I62" i="4"/>
  <c r="H63" i="4" a="1"/>
  <c r="H63" i="4"/>
  <c r="I63" i="4" a="1"/>
  <c r="I63" i="4"/>
  <c r="H64" i="4" a="1"/>
  <c r="H64" i="4"/>
  <c r="I64" i="4" a="1"/>
  <c r="I64" i="4"/>
  <c r="H65" i="4" a="1"/>
  <c r="H65" i="4"/>
  <c r="I65" i="4" a="1"/>
  <c r="I65" i="4"/>
  <c r="H66" i="4" a="1"/>
  <c r="H66" i="4"/>
  <c r="I66" i="4" a="1"/>
  <c r="I66" i="4"/>
  <c r="H67" i="4" a="1"/>
  <c r="H67" i="4"/>
  <c r="I67" i="4" a="1"/>
  <c r="I67" i="4"/>
  <c r="H68" i="4" a="1"/>
  <c r="H68" i="4"/>
  <c r="I68" i="4" a="1"/>
  <c r="I68" i="4"/>
  <c r="H69" i="4" a="1"/>
  <c r="H69" i="4"/>
  <c r="I69" i="4" a="1"/>
  <c r="I69" i="4"/>
  <c r="H70" i="4" a="1"/>
  <c r="H70" i="4"/>
  <c r="I70" i="4" a="1"/>
  <c r="I70" i="4"/>
  <c r="H71" i="4" a="1"/>
  <c r="H71" i="4"/>
  <c r="I71" i="4" a="1"/>
  <c r="I71" i="4"/>
  <c r="H72" i="4" a="1"/>
  <c r="H72" i="4"/>
  <c r="I72" i="4" a="1"/>
  <c r="I72" i="4"/>
  <c r="H73" i="4" a="1"/>
  <c r="H73" i="4"/>
  <c r="I73" i="4" a="1"/>
  <c r="I73" i="4"/>
  <c r="H74" i="4" a="1"/>
  <c r="H74" i="4"/>
  <c r="I74" i="4" a="1"/>
  <c r="I74" i="4"/>
  <c r="H75" i="4" a="1"/>
  <c r="H75" i="4"/>
  <c r="I75" i="4" a="1"/>
  <c r="I75" i="4"/>
  <c r="H76" i="4" a="1"/>
  <c r="H76" i="4"/>
  <c r="I76" i="4" a="1"/>
  <c r="I76" i="4"/>
  <c r="H77" i="4" a="1"/>
  <c r="H77" i="4"/>
  <c r="I77" i="4" a="1"/>
  <c r="I77" i="4"/>
  <c r="H78" i="4" a="1"/>
  <c r="H78" i="4"/>
  <c r="I78" i="4" a="1"/>
  <c r="I78" i="4"/>
  <c r="H79" i="4" a="1"/>
  <c r="H79" i="4"/>
  <c r="I79" i="4" a="1"/>
  <c r="I79" i="4"/>
  <c r="H80" i="4" a="1"/>
  <c r="H80" i="4"/>
  <c r="I80" i="4" a="1"/>
  <c r="I80" i="4"/>
  <c r="H81" i="4" a="1"/>
  <c r="H81" i="4"/>
  <c r="I81" i="4" a="1"/>
  <c r="I81" i="4"/>
  <c r="H82" i="4" a="1"/>
  <c r="H82" i="4"/>
  <c r="I82" i="4" a="1"/>
  <c r="I82" i="4"/>
  <c r="H83" i="4" a="1"/>
  <c r="H83" i="4"/>
  <c r="I83" i="4" a="1"/>
  <c r="I83" i="4"/>
  <c r="H84" i="4" a="1"/>
  <c r="H84" i="4"/>
  <c r="I84" i="4" a="1"/>
  <c r="I84" i="4"/>
  <c r="H85" i="4" a="1"/>
  <c r="H85" i="4"/>
  <c r="I85" i="4" a="1"/>
  <c r="I85" i="4"/>
  <c r="H86" i="4" a="1"/>
  <c r="H86" i="4"/>
  <c r="I86" i="4" a="1"/>
  <c r="I86" i="4"/>
  <c r="H87" i="4" a="1"/>
  <c r="H87" i="4"/>
  <c r="I87" i="4" a="1"/>
  <c r="I87" i="4"/>
  <c r="H88" i="4" a="1"/>
  <c r="H88" i="4"/>
  <c r="I88" i="4" a="1"/>
  <c r="I88" i="4"/>
  <c r="H89" i="4" a="1"/>
  <c r="H89" i="4"/>
  <c r="I89" i="4" a="1"/>
  <c r="I89" i="4"/>
  <c r="H90" i="4" a="1"/>
  <c r="H90" i="4"/>
  <c r="I90" i="4" a="1"/>
  <c r="I90" i="4"/>
  <c r="H91" i="4" a="1"/>
  <c r="H91" i="4"/>
  <c r="I91" i="4" a="1"/>
  <c r="I91" i="4"/>
  <c r="H92" i="4" a="1"/>
  <c r="H92" i="4"/>
  <c r="I92" i="4" a="1"/>
  <c r="I92" i="4"/>
  <c r="H93" i="4" a="1"/>
  <c r="H93" i="4"/>
  <c r="I93" i="4" a="1"/>
  <c r="I93" i="4"/>
  <c r="H94" i="4" a="1"/>
  <c r="H94" i="4"/>
  <c r="I94" i="4" a="1"/>
  <c r="I94" i="4"/>
  <c r="H95" i="4" a="1"/>
  <c r="H95" i="4"/>
  <c r="I95" i="4" a="1"/>
  <c r="I95" i="4"/>
  <c r="H96" i="4" a="1"/>
  <c r="H96" i="4"/>
  <c r="I96" i="4" a="1"/>
  <c r="I96" i="4"/>
  <c r="H97" i="4" a="1"/>
  <c r="H97" i="4"/>
  <c r="I97" i="4" a="1"/>
  <c r="I97" i="4"/>
  <c r="H98" i="4" a="1"/>
  <c r="H98" i="4"/>
  <c r="I98" i="4" a="1"/>
  <c r="I98" i="4"/>
  <c r="H99" i="4" a="1"/>
  <c r="H99" i="4"/>
  <c r="I99" i="4" a="1"/>
  <c r="I99" i="4"/>
  <c r="H100" i="4" a="1"/>
  <c r="H100" i="4"/>
  <c r="I100" i="4" a="1"/>
  <c r="I100" i="4"/>
  <c r="H101" i="4" a="1"/>
  <c r="H101" i="4"/>
  <c r="I101" i="4" a="1"/>
  <c r="I101" i="4"/>
  <c r="H102" i="4" a="1"/>
  <c r="H102" i="4"/>
  <c r="I102" i="4" a="1"/>
  <c r="I102" i="4"/>
  <c r="H103" i="4" a="1"/>
  <c r="H103" i="4"/>
  <c r="I103" i="4" a="1"/>
  <c r="I103" i="4"/>
  <c r="H104" i="4" a="1"/>
  <c r="H104" i="4"/>
  <c r="I104" i="4" a="1"/>
  <c r="I104" i="4"/>
  <c r="H105" i="4" a="1"/>
  <c r="H105" i="4"/>
  <c r="I105" i="4" a="1"/>
  <c r="I105" i="4"/>
  <c r="H106" i="4" a="1"/>
  <c r="H106" i="4"/>
  <c r="I106" i="4" a="1"/>
  <c r="I106" i="4"/>
  <c r="H107" i="4" a="1"/>
  <c r="H107" i="4"/>
  <c r="I107" i="4" a="1"/>
  <c r="I107" i="4"/>
  <c r="H108" i="4" a="1"/>
  <c r="H108" i="4"/>
  <c r="I108" i="4" a="1"/>
  <c r="I108" i="4"/>
  <c r="H109" i="4" a="1"/>
  <c r="H109" i="4"/>
  <c r="I109" i="4" a="1"/>
  <c r="I109" i="4"/>
  <c r="H110" i="4" a="1"/>
  <c r="H110" i="4"/>
  <c r="I110" i="4" a="1"/>
  <c r="I110" i="4"/>
  <c r="I11" i="4" a="1"/>
  <c r="I11" i="4"/>
  <c r="H11" i="4" a="1"/>
  <c r="H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I27" i="3" a="1"/>
  <c r="I27" i="3"/>
  <c r="I12" i="3" a="1"/>
  <c r="I12" i="3"/>
  <c r="I13" i="3" a="1"/>
  <c r="I13" i="3"/>
  <c r="I14" i="3" a="1"/>
  <c r="I14" i="3"/>
  <c r="I15" i="3" a="1"/>
  <c r="I15" i="3"/>
  <c r="I16" i="3" a="1"/>
  <c r="I16" i="3"/>
  <c r="I17" i="3" a="1"/>
  <c r="I17" i="3"/>
  <c r="I18" i="3" a="1"/>
  <c r="I18" i="3"/>
  <c r="I19" i="3" a="1"/>
  <c r="I19" i="3"/>
  <c r="I20" i="3" a="1"/>
  <c r="I20" i="3"/>
  <c r="I21" i="3" a="1"/>
  <c r="I21" i="3"/>
  <c r="I22" i="3" a="1"/>
  <c r="I22" i="3"/>
  <c r="I23" i="3" a="1"/>
  <c r="I23" i="3"/>
  <c r="I24" i="3" a="1"/>
  <c r="I24" i="3"/>
  <c r="I25" i="3" a="1"/>
  <c r="I25" i="3"/>
  <c r="I26" i="3" a="1"/>
  <c r="I26" i="3"/>
  <c r="I28" i="3" a="1"/>
  <c r="I28" i="3"/>
  <c r="I29" i="3" a="1"/>
  <c r="I29" i="3"/>
  <c r="I30" i="3" a="1"/>
  <c r="I30" i="3"/>
  <c r="I31" i="3" a="1"/>
  <c r="I31" i="3"/>
  <c r="I32" i="3" a="1"/>
  <c r="I32" i="3"/>
  <c r="I33" i="3" a="1"/>
  <c r="I33" i="3"/>
  <c r="I34" i="3" a="1"/>
  <c r="I34" i="3"/>
  <c r="I35" i="3" a="1"/>
  <c r="I35" i="3"/>
  <c r="I36" i="3" a="1"/>
  <c r="I36" i="3"/>
  <c r="I37" i="3" a="1"/>
  <c r="I37" i="3"/>
  <c r="I38" i="3" a="1"/>
  <c r="I38" i="3"/>
  <c r="I39" i="3" a="1"/>
  <c r="I39" i="3"/>
  <c r="I40" i="3" a="1"/>
  <c r="I40" i="3"/>
  <c r="I41" i="3" a="1"/>
  <c r="I41" i="3"/>
  <c r="I42" i="3" a="1"/>
  <c r="I42" i="3"/>
  <c r="I43" i="3" a="1"/>
  <c r="I43" i="3"/>
  <c r="I44" i="3" a="1"/>
  <c r="I44" i="3"/>
  <c r="I45" i="3" a="1"/>
  <c r="I45" i="3"/>
  <c r="I46" i="3" a="1"/>
  <c r="I46" i="3"/>
  <c r="I47" i="3" a="1"/>
  <c r="I47" i="3"/>
  <c r="I48" i="3" a="1"/>
  <c r="I48" i="3"/>
  <c r="I49" i="3" a="1"/>
  <c r="I49" i="3"/>
  <c r="I50" i="3" a="1"/>
  <c r="I50" i="3"/>
  <c r="I51" i="3" a="1"/>
  <c r="I51" i="3"/>
  <c r="I52" i="3" a="1"/>
  <c r="I52" i="3"/>
  <c r="I53" i="3" a="1"/>
  <c r="I53" i="3"/>
  <c r="I54" i="3" a="1"/>
  <c r="I54" i="3"/>
  <c r="I55" i="3" a="1"/>
  <c r="I55" i="3"/>
  <c r="I56" i="3" a="1"/>
  <c r="I56" i="3"/>
  <c r="I57" i="3" a="1"/>
  <c r="I57" i="3"/>
  <c r="I58" i="3" a="1"/>
  <c r="I58" i="3"/>
  <c r="I59" i="3" a="1"/>
  <c r="I59" i="3"/>
  <c r="I60" i="3" a="1"/>
  <c r="I60" i="3"/>
  <c r="I61" i="3" a="1"/>
  <c r="I61" i="3"/>
  <c r="I62" i="3" a="1"/>
  <c r="I62" i="3"/>
  <c r="I63" i="3" a="1"/>
  <c r="I63" i="3"/>
  <c r="I64" i="3" a="1"/>
  <c r="I64" i="3"/>
  <c r="I65" i="3" a="1"/>
  <c r="I65" i="3"/>
  <c r="I66" i="3" a="1"/>
  <c r="I66" i="3"/>
  <c r="I67" i="3" a="1"/>
  <c r="I67" i="3"/>
  <c r="I68" i="3" a="1"/>
  <c r="I68" i="3"/>
  <c r="I69" i="3" a="1"/>
  <c r="I69" i="3"/>
  <c r="I70" i="3" a="1"/>
  <c r="I70" i="3"/>
  <c r="I71" i="3" a="1"/>
  <c r="I71" i="3"/>
  <c r="I72" i="3" a="1"/>
  <c r="I72" i="3"/>
  <c r="I73" i="3" a="1"/>
  <c r="I73" i="3"/>
  <c r="I74" i="3" a="1"/>
  <c r="I74" i="3"/>
  <c r="I75" i="3" a="1"/>
  <c r="I75" i="3"/>
  <c r="I76" i="3" a="1"/>
  <c r="I76" i="3"/>
  <c r="I77" i="3" a="1"/>
  <c r="I77" i="3"/>
  <c r="I78" i="3" a="1"/>
  <c r="I78" i="3"/>
  <c r="I79" i="3" a="1"/>
  <c r="I79" i="3"/>
  <c r="I80" i="3" a="1"/>
  <c r="I80" i="3"/>
  <c r="I81" i="3" a="1"/>
  <c r="I81" i="3"/>
  <c r="I82" i="3" a="1"/>
  <c r="I82" i="3"/>
  <c r="I83" i="3" a="1"/>
  <c r="I83" i="3"/>
  <c r="I84" i="3" a="1"/>
  <c r="I84" i="3"/>
  <c r="I85" i="3" a="1"/>
  <c r="I85" i="3"/>
  <c r="I86" i="3" a="1"/>
  <c r="I86" i="3"/>
  <c r="I87" i="3" a="1"/>
  <c r="I87" i="3"/>
  <c r="I88" i="3" a="1"/>
  <c r="I88" i="3"/>
  <c r="I89" i="3" a="1"/>
  <c r="I89" i="3"/>
  <c r="I90" i="3" a="1"/>
  <c r="I90" i="3"/>
  <c r="I91" i="3" a="1"/>
  <c r="I91" i="3"/>
  <c r="I92" i="3" a="1"/>
  <c r="I92" i="3"/>
  <c r="I93" i="3" a="1"/>
  <c r="I93" i="3"/>
  <c r="I94" i="3" a="1"/>
  <c r="I94" i="3"/>
  <c r="I95" i="3" a="1"/>
  <c r="I95" i="3"/>
  <c r="I96" i="3" a="1"/>
  <c r="I96" i="3"/>
  <c r="I97" i="3" a="1"/>
  <c r="I97" i="3"/>
  <c r="I98" i="3" a="1"/>
  <c r="I98" i="3"/>
  <c r="I99" i="3" a="1"/>
  <c r="I99" i="3"/>
  <c r="I100" i="3" a="1"/>
  <c r="I100" i="3"/>
  <c r="I101" i="3" a="1"/>
  <c r="I101" i="3"/>
  <c r="I102" i="3" a="1"/>
  <c r="I102" i="3"/>
  <c r="I103" i="3" a="1"/>
  <c r="I103" i="3"/>
  <c r="I104" i="3" a="1"/>
  <c r="I104" i="3"/>
  <c r="I105" i="3" a="1"/>
  <c r="I105" i="3"/>
  <c r="I106" i="3" a="1"/>
  <c r="I106" i="3"/>
  <c r="I107" i="3" a="1"/>
  <c r="I107" i="3"/>
  <c r="I108" i="3" a="1"/>
  <c r="I108" i="3"/>
  <c r="I109" i="3" a="1"/>
  <c r="I109" i="3"/>
  <c r="I110" i="3" a="1"/>
  <c r="I110" i="3"/>
  <c r="H12" i="3" a="1"/>
  <c r="H12" i="3"/>
  <c r="H13" i="3" a="1"/>
  <c r="H13" i="3"/>
  <c r="H14" i="3" a="1"/>
  <c r="H14" i="3"/>
  <c r="H15" i="3" a="1"/>
  <c r="H15" i="3"/>
  <c r="H16" i="3" a="1"/>
  <c r="H16" i="3"/>
  <c r="H17" i="3" a="1"/>
  <c r="H17" i="3"/>
  <c r="H18" i="3" a="1"/>
  <c r="H18" i="3"/>
  <c r="H19" i="3" a="1"/>
  <c r="H19" i="3"/>
  <c r="H20" i="3" a="1"/>
  <c r="H20" i="3"/>
  <c r="H21" i="3" a="1"/>
  <c r="H21" i="3"/>
  <c r="H22" i="3" a="1"/>
  <c r="H22" i="3"/>
  <c r="H23" i="3" a="1"/>
  <c r="H23" i="3"/>
  <c r="H24" i="3" a="1"/>
  <c r="H24" i="3"/>
  <c r="H25" i="3" a="1"/>
  <c r="H25" i="3"/>
  <c r="H26" i="3" a="1"/>
  <c r="H26" i="3"/>
  <c r="H27" i="3" a="1"/>
  <c r="H27" i="3"/>
  <c r="H28" i="3" a="1"/>
  <c r="H28" i="3"/>
  <c r="H29" i="3" a="1"/>
  <c r="H29" i="3"/>
  <c r="H30" i="3" a="1"/>
  <c r="H30" i="3"/>
  <c r="H31" i="3" a="1"/>
  <c r="H31" i="3"/>
  <c r="H32" i="3" a="1"/>
  <c r="H32" i="3"/>
  <c r="H33" i="3" a="1"/>
  <c r="H33" i="3"/>
  <c r="H34" i="3" a="1"/>
  <c r="H34" i="3"/>
  <c r="H35" i="3" a="1"/>
  <c r="H35" i="3"/>
  <c r="H36" i="3" a="1"/>
  <c r="H36" i="3"/>
  <c r="H37" i="3" a="1"/>
  <c r="H37" i="3"/>
  <c r="H38" i="3" a="1"/>
  <c r="H38" i="3"/>
  <c r="H39" i="3" a="1"/>
  <c r="H39" i="3"/>
  <c r="H40" i="3" a="1"/>
  <c r="H40" i="3"/>
  <c r="H41" i="3" a="1"/>
  <c r="H41" i="3"/>
  <c r="H42" i="3" a="1"/>
  <c r="H42" i="3"/>
  <c r="H43" i="3" a="1"/>
  <c r="H43" i="3"/>
  <c r="H44" i="3" a="1"/>
  <c r="H44" i="3"/>
  <c r="H45" i="3" a="1"/>
  <c r="H45" i="3"/>
  <c r="H46" i="3" a="1"/>
  <c r="H46" i="3"/>
  <c r="H47" i="3" a="1"/>
  <c r="H47" i="3"/>
  <c r="H48" i="3" a="1"/>
  <c r="H48" i="3"/>
  <c r="H49" i="3" a="1"/>
  <c r="H49" i="3"/>
  <c r="H50" i="3" a="1"/>
  <c r="H50" i="3"/>
  <c r="H51" i="3" a="1"/>
  <c r="H51" i="3"/>
  <c r="H52" i="3" a="1"/>
  <c r="H52" i="3"/>
  <c r="H53" i="3" a="1"/>
  <c r="H53" i="3"/>
  <c r="H54" i="3" a="1"/>
  <c r="H54" i="3"/>
  <c r="H55" i="3" a="1"/>
  <c r="H55" i="3"/>
  <c r="H56" i="3" a="1"/>
  <c r="H56" i="3"/>
  <c r="H57" i="3" a="1"/>
  <c r="H57" i="3"/>
  <c r="H58" i="3" a="1"/>
  <c r="H58" i="3"/>
  <c r="H59" i="3" a="1"/>
  <c r="H59" i="3"/>
  <c r="H60" i="3" a="1"/>
  <c r="H60" i="3"/>
  <c r="H61" i="3" a="1"/>
  <c r="H61" i="3"/>
  <c r="H62" i="3" a="1"/>
  <c r="H62" i="3"/>
  <c r="H63" i="3" a="1"/>
  <c r="H63" i="3"/>
  <c r="H64" i="3" a="1"/>
  <c r="H64" i="3"/>
  <c r="H65" i="3" a="1"/>
  <c r="H65" i="3"/>
  <c r="H66" i="3" a="1"/>
  <c r="H66" i="3"/>
  <c r="H67" i="3" a="1"/>
  <c r="H67" i="3"/>
  <c r="H68" i="3" a="1"/>
  <c r="H68" i="3"/>
  <c r="H69" i="3" a="1"/>
  <c r="H69" i="3"/>
  <c r="H70" i="3" a="1"/>
  <c r="H70" i="3"/>
  <c r="H71" i="3" a="1"/>
  <c r="H71" i="3"/>
  <c r="H72" i="3" a="1"/>
  <c r="H72" i="3"/>
  <c r="H73" i="3" a="1"/>
  <c r="H73" i="3"/>
  <c r="H74" i="3" a="1"/>
  <c r="H74" i="3"/>
  <c r="H75" i="3" a="1"/>
  <c r="H75" i="3"/>
  <c r="H76" i="3" a="1"/>
  <c r="H76" i="3"/>
  <c r="H77" i="3" a="1"/>
  <c r="H77" i="3"/>
  <c r="H78" i="3" a="1"/>
  <c r="H78" i="3"/>
  <c r="H79" i="3" a="1"/>
  <c r="H79" i="3"/>
  <c r="H80" i="3" a="1"/>
  <c r="H80" i="3"/>
  <c r="H81" i="3" a="1"/>
  <c r="H81" i="3"/>
  <c r="H82" i="3" a="1"/>
  <c r="H82" i="3"/>
  <c r="H83" i="3" a="1"/>
  <c r="H83" i="3"/>
  <c r="H84" i="3" a="1"/>
  <c r="H84" i="3"/>
  <c r="H85" i="3" a="1"/>
  <c r="H85" i="3"/>
  <c r="H86" i="3" a="1"/>
  <c r="H86" i="3"/>
  <c r="H87" i="3" a="1"/>
  <c r="H87" i="3"/>
  <c r="H88" i="3" a="1"/>
  <c r="H88" i="3"/>
  <c r="H89" i="3" a="1"/>
  <c r="H89" i="3"/>
  <c r="H90" i="3" a="1"/>
  <c r="H90" i="3"/>
  <c r="H91" i="3" a="1"/>
  <c r="H91" i="3"/>
  <c r="H92" i="3" a="1"/>
  <c r="H92" i="3"/>
  <c r="H93" i="3" a="1"/>
  <c r="H93" i="3"/>
  <c r="H94" i="3" a="1"/>
  <c r="H94" i="3"/>
  <c r="H95" i="3" a="1"/>
  <c r="H95" i="3"/>
  <c r="H96" i="3" a="1"/>
  <c r="H96" i="3"/>
  <c r="H97" i="3" a="1"/>
  <c r="H97" i="3"/>
  <c r="H98" i="3" a="1"/>
  <c r="H98" i="3"/>
  <c r="H99" i="3" a="1"/>
  <c r="H99" i="3"/>
  <c r="H100" i="3" a="1"/>
  <c r="H100" i="3"/>
  <c r="H101" i="3" a="1"/>
  <c r="H101" i="3"/>
  <c r="H102" i="3" a="1"/>
  <c r="H102" i="3"/>
  <c r="H103" i="3" a="1"/>
  <c r="H103" i="3"/>
  <c r="H104" i="3" a="1"/>
  <c r="H104" i="3"/>
  <c r="H105" i="3" a="1"/>
  <c r="H105" i="3"/>
  <c r="H106" i="3" a="1"/>
  <c r="H106" i="3"/>
  <c r="H107" i="3" a="1"/>
  <c r="H107" i="3"/>
  <c r="H108" i="3" a="1"/>
  <c r="H108" i="3"/>
  <c r="H109" i="3" a="1"/>
  <c r="H109" i="3"/>
  <c r="H110" i="3" a="1"/>
  <c r="H110" i="3"/>
  <c r="H11" i="3" a="1"/>
  <c r="H11" i="3"/>
  <c r="I11" i="3" a="1"/>
  <c r="I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F11" i="3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F11" i="4"/>
  <c r="I4" i="3" a="1"/>
  <c r="I4" i="3"/>
  <c r="I5" i="3" a="1"/>
  <c r="I5" i="3"/>
  <c r="I6" i="3"/>
  <c r="I4" i="4" a="1"/>
  <c r="I4" i="4"/>
  <c r="I5" i="4" a="1"/>
  <c r="I5" i="4"/>
  <c r="I6" i="4"/>
  <c r="M3" i="3"/>
  <c r="M3" i="4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E111" i="2"/>
  <c r="G111" i="2" a="1"/>
  <c r="G111" i="2"/>
  <c r="E110" i="2"/>
  <c r="G110" i="2" a="1"/>
  <c r="G110" i="2"/>
  <c r="E109" i="2"/>
  <c r="G109" i="2" a="1"/>
  <c r="G109" i="2"/>
  <c r="E108" i="2"/>
  <c r="G108" i="2" a="1"/>
  <c r="G108" i="2"/>
  <c r="E107" i="2"/>
  <c r="G107" i="2" a="1"/>
  <c r="G107" i="2"/>
  <c r="E106" i="2"/>
  <c r="G106" i="2" a="1"/>
  <c r="G106" i="2"/>
  <c r="E105" i="2"/>
  <c r="G105" i="2" a="1"/>
  <c r="G105" i="2"/>
  <c r="E104" i="2"/>
  <c r="G104" i="2" a="1"/>
  <c r="G104" i="2"/>
  <c r="E103" i="2"/>
  <c r="G103" i="2" a="1"/>
  <c r="G103" i="2"/>
  <c r="E102" i="2"/>
  <c r="G102" i="2" a="1"/>
  <c r="G102" i="2"/>
  <c r="E101" i="2"/>
  <c r="G101" i="2" a="1"/>
  <c r="G101" i="2"/>
  <c r="E100" i="2"/>
  <c r="G100" i="2" a="1"/>
  <c r="G100" i="2"/>
  <c r="E99" i="2"/>
  <c r="G99" i="2" a="1"/>
  <c r="G99" i="2"/>
  <c r="E98" i="2"/>
  <c r="G98" i="2" a="1"/>
  <c r="G98" i="2"/>
  <c r="E97" i="2"/>
  <c r="G97" i="2" a="1"/>
  <c r="G97" i="2"/>
  <c r="E96" i="2"/>
  <c r="G96" i="2" a="1"/>
  <c r="G96" i="2"/>
  <c r="E95" i="2"/>
  <c r="G95" i="2" a="1"/>
  <c r="G95" i="2"/>
  <c r="E94" i="2"/>
  <c r="G94" i="2" a="1"/>
  <c r="G94" i="2"/>
  <c r="E93" i="2"/>
  <c r="G93" i="2" a="1"/>
  <c r="G93" i="2"/>
  <c r="E92" i="2"/>
  <c r="G92" i="2" a="1"/>
  <c r="G92" i="2"/>
  <c r="E91" i="2"/>
  <c r="G91" i="2" a="1"/>
  <c r="G91" i="2"/>
  <c r="E90" i="2"/>
  <c r="G90" i="2" a="1"/>
  <c r="G90" i="2"/>
  <c r="E89" i="2"/>
  <c r="G89" i="2" a="1"/>
  <c r="G89" i="2"/>
  <c r="E88" i="2"/>
  <c r="G88" i="2" a="1"/>
  <c r="G88" i="2"/>
  <c r="E87" i="2"/>
  <c r="G87" i="2" a="1"/>
  <c r="G87" i="2"/>
  <c r="E86" i="2"/>
  <c r="G86" i="2" a="1"/>
  <c r="G86" i="2"/>
  <c r="E85" i="2"/>
  <c r="G85" i="2" a="1"/>
  <c r="G85" i="2"/>
  <c r="E84" i="2"/>
  <c r="G84" i="2" a="1"/>
  <c r="G84" i="2"/>
  <c r="E83" i="2"/>
  <c r="G83" i="2" a="1"/>
  <c r="G83" i="2"/>
  <c r="E82" i="2"/>
  <c r="G82" i="2" a="1"/>
  <c r="G82" i="2"/>
  <c r="E81" i="2"/>
  <c r="G81" i="2" a="1"/>
  <c r="G81" i="2"/>
  <c r="E80" i="2"/>
  <c r="G80" i="2" a="1"/>
  <c r="G80" i="2"/>
  <c r="E79" i="2"/>
  <c r="G79" i="2" a="1"/>
  <c r="G79" i="2"/>
  <c r="E78" i="2"/>
  <c r="G78" i="2" a="1"/>
  <c r="G78" i="2"/>
  <c r="E77" i="2"/>
  <c r="G77" i="2" a="1"/>
  <c r="G77" i="2"/>
  <c r="E76" i="2"/>
  <c r="G76" i="2" a="1"/>
  <c r="G76" i="2"/>
  <c r="E75" i="2"/>
  <c r="G75" i="2" a="1"/>
  <c r="G75" i="2"/>
  <c r="E74" i="2"/>
  <c r="G74" i="2" a="1"/>
  <c r="G74" i="2"/>
  <c r="E73" i="2"/>
  <c r="G73" i="2" a="1"/>
  <c r="G73" i="2"/>
  <c r="E72" i="2"/>
  <c r="G72" i="2" a="1"/>
  <c r="G72" i="2"/>
  <c r="E71" i="2"/>
  <c r="G71" i="2" a="1"/>
  <c r="G71" i="2"/>
  <c r="E70" i="2"/>
  <c r="G70" i="2" a="1"/>
  <c r="G70" i="2"/>
  <c r="E69" i="2"/>
  <c r="G69" i="2" a="1"/>
  <c r="G69" i="2"/>
  <c r="E68" i="2"/>
  <c r="G68" i="2" a="1"/>
  <c r="G68" i="2"/>
  <c r="E67" i="2"/>
  <c r="G67" i="2" a="1"/>
  <c r="G67" i="2"/>
  <c r="E66" i="2"/>
  <c r="G66" i="2" a="1"/>
  <c r="G66" i="2"/>
  <c r="E65" i="2"/>
  <c r="G65" i="2" a="1"/>
  <c r="G65" i="2"/>
  <c r="E64" i="2"/>
  <c r="G64" i="2" a="1"/>
  <c r="G64" i="2"/>
  <c r="E63" i="2"/>
  <c r="G63" i="2" a="1"/>
  <c r="G63" i="2"/>
  <c r="E62" i="2"/>
  <c r="G62" i="2" a="1"/>
  <c r="G62" i="2"/>
  <c r="E61" i="2"/>
  <c r="G61" i="2" a="1"/>
  <c r="G61" i="2"/>
  <c r="E60" i="2"/>
  <c r="G60" i="2" a="1"/>
  <c r="G60" i="2"/>
  <c r="E59" i="2"/>
  <c r="G59" i="2" a="1"/>
  <c r="G59" i="2"/>
  <c r="E58" i="2"/>
  <c r="G58" i="2" a="1"/>
  <c r="G58" i="2"/>
  <c r="E57" i="2"/>
  <c r="G57" i="2" a="1"/>
  <c r="G57" i="2"/>
  <c r="E56" i="2"/>
  <c r="G56" i="2" a="1"/>
  <c r="G56" i="2"/>
  <c r="E55" i="2"/>
  <c r="G55" i="2" a="1"/>
  <c r="G55" i="2"/>
  <c r="E54" i="2"/>
  <c r="G54" i="2" a="1"/>
  <c r="G54" i="2"/>
  <c r="E53" i="2"/>
  <c r="G53" i="2" a="1"/>
  <c r="G53" i="2"/>
  <c r="E52" i="2"/>
  <c r="G52" i="2" a="1"/>
  <c r="G52" i="2"/>
  <c r="E51" i="2"/>
  <c r="G51" i="2" a="1"/>
  <c r="G51" i="2"/>
  <c r="E50" i="2"/>
  <c r="G50" i="2" a="1"/>
  <c r="G50" i="2"/>
  <c r="E49" i="2"/>
  <c r="G49" i="2" a="1"/>
  <c r="G49" i="2"/>
  <c r="E48" i="2"/>
  <c r="G48" i="2" a="1"/>
  <c r="G48" i="2"/>
  <c r="E47" i="2"/>
  <c r="G47" i="2" a="1"/>
  <c r="G47" i="2"/>
  <c r="E46" i="2"/>
  <c r="G46" i="2" a="1"/>
  <c r="G46" i="2"/>
  <c r="E45" i="2"/>
  <c r="G45" i="2" a="1"/>
  <c r="G45" i="2"/>
  <c r="E44" i="2"/>
  <c r="G44" i="2" a="1"/>
  <c r="G44" i="2"/>
  <c r="E43" i="2"/>
  <c r="G43" i="2" a="1"/>
  <c r="G43" i="2"/>
  <c r="E42" i="2"/>
  <c r="G42" i="2" a="1"/>
  <c r="G42" i="2"/>
  <c r="E41" i="2"/>
  <c r="G41" i="2" a="1"/>
  <c r="G41" i="2"/>
  <c r="E40" i="2"/>
  <c r="G40" i="2" a="1"/>
  <c r="G40" i="2"/>
  <c r="E39" i="2"/>
  <c r="G39" i="2" a="1"/>
  <c r="G39" i="2"/>
  <c r="E38" i="2"/>
  <c r="G38" i="2" a="1"/>
  <c r="G38" i="2"/>
  <c r="E37" i="2"/>
  <c r="G37" i="2" a="1"/>
  <c r="G37" i="2"/>
  <c r="E36" i="2"/>
  <c r="G36" i="2" a="1"/>
  <c r="G36" i="2"/>
  <c r="E35" i="2"/>
  <c r="G35" i="2" a="1"/>
  <c r="G35" i="2"/>
  <c r="E34" i="2"/>
  <c r="G34" i="2" a="1"/>
  <c r="G34" i="2"/>
  <c r="E33" i="2"/>
  <c r="G33" i="2" a="1"/>
  <c r="G33" i="2"/>
  <c r="E32" i="2"/>
  <c r="G32" i="2" a="1"/>
  <c r="G32" i="2"/>
  <c r="E31" i="2"/>
  <c r="G31" i="2" a="1"/>
  <c r="G31" i="2"/>
  <c r="E30" i="2"/>
  <c r="G30" i="2" a="1"/>
  <c r="G30" i="2"/>
  <c r="E29" i="2"/>
  <c r="G29" i="2" a="1"/>
  <c r="G29" i="2"/>
  <c r="E28" i="2"/>
  <c r="G28" i="2" a="1"/>
  <c r="G28" i="2"/>
  <c r="E27" i="2"/>
  <c r="G27" i="2" a="1"/>
  <c r="G27" i="2"/>
  <c r="E26" i="2"/>
  <c r="G26" i="2" a="1"/>
  <c r="G26" i="2"/>
  <c r="E25" i="2"/>
  <c r="G25" i="2" a="1"/>
  <c r="G25" i="2"/>
  <c r="E24" i="2"/>
  <c r="G24" i="2" a="1"/>
  <c r="G24" i="2"/>
  <c r="E23" i="2"/>
  <c r="G23" i="2" a="1"/>
  <c r="G23" i="2"/>
  <c r="E22" i="2"/>
  <c r="G22" i="2" a="1"/>
  <c r="G22" i="2"/>
  <c r="E21" i="2"/>
  <c r="G21" i="2" a="1"/>
  <c r="G21" i="2"/>
  <c r="E20" i="2"/>
  <c r="G20" i="2" a="1"/>
  <c r="G20" i="2"/>
  <c r="E19" i="2"/>
  <c r="G19" i="2" a="1"/>
  <c r="G19" i="2"/>
  <c r="E18" i="2"/>
  <c r="G18" i="2" a="1"/>
  <c r="G18" i="2"/>
  <c r="E17" i="2"/>
  <c r="G17" i="2" a="1"/>
  <c r="G17" i="2"/>
  <c r="E16" i="2"/>
  <c r="G16" i="2" a="1"/>
  <c r="G16" i="2"/>
  <c r="E15" i="2"/>
  <c r="G15" i="2" a="1"/>
  <c r="G15" i="2"/>
  <c r="E14" i="2"/>
  <c r="G14" i="2" a="1"/>
  <c r="G14" i="2"/>
  <c r="E13" i="2"/>
  <c r="G13" i="2" a="1"/>
  <c r="G13" i="2"/>
  <c r="E12" i="2"/>
  <c r="G12" i="2" a="1"/>
  <c r="G12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H11" i="2" a="1"/>
  <c r="H11" i="2"/>
  <c r="G11" i="2" a="1"/>
  <c r="G11" i="2"/>
  <c r="E11" i="2"/>
  <c r="L6" i="2" a="1"/>
  <c r="L6" i="2"/>
  <c r="O4" i="2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J23" i="1"/>
  <c r="G23" i="1"/>
  <c r="J25" i="1"/>
  <c r="J24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I16" i="1"/>
  <c r="N5" i="1"/>
  <c r="N4" i="1"/>
  <c r="N3" i="1"/>
  <c r="N2" i="1"/>
  <c r="N1" i="1"/>
  <c r="N15" i="1"/>
  <c r="F15" i="1"/>
  <c r="F16" i="1"/>
  <c r="F17" i="1"/>
  <c r="F18" i="1"/>
  <c r="E15" i="1"/>
  <c r="E16" i="1"/>
  <c r="E17" i="1"/>
  <c r="E18" i="1"/>
  <c r="D15" i="1"/>
  <c r="D16" i="1"/>
  <c r="D17" i="1"/>
  <c r="D18" i="1"/>
  <c r="F14" i="1"/>
  <c r="E14" i="1"/>
  <c r="D14" i="1"/>
  <c r="C15" i="1"/>
  <c r="C16" i="1"/>
  <c r="C17" i="1"/>
  <c r="C18" i="1"/>
  <c r="C14" i="1"/>
  <c r="B15" i="1"/>
  <c r="B16" i="1"/>
  <c r="B17" i="1"/>
  <c r="B18" i="1"/>
  <c r="B14" i="1"/>
  <c r="I17" i="1"/>
  <c r="I18" i="1"/>
  <c r="I23" i="1" a="1"/>
  <c r="I23" i="1"/>
  <c r="I122" i="1" a="1"/>
  <c r="I122" i="1"/>
  <c r="I121" i="1" a="1"/>
  <c r="I121" i="1"/>
  <c r="I120" i="1" a="1"/>
  <c r="I120" i="1"/>
  <c r="I119" i="1" a="1"/>
  <c r="I119" i="1"/>
  <c r="I118" i="1" a="1"/>
  <c r="I118" i="1"/>
  <c r="I117" i="1" a="1"/>
  <c r="I117" i="1"/>
  <c r="I116" i="1" a="1"/>
  <c r="I116" i="1"/>
  <c r="I115" i="1" a="1"/>
  <c r="I115" i="1"/>
  <c r="I114" i="1" a="1"/>
  <c r="I114" i="1"/>
  <c r="I113" i="1" a="1"/>
  <c r="I113" i="1"/>
  <c r="I112" i="1" a="1"/>
  <c r="I112" i="1"/>
  <c r="I111" i="1" a="1"/>
  <c r="I111" i="1"/>
  <c r="I110" i="1" a="1"/>
  <c r="I110" i="1"/>
  <c r="I109" i="1" a="1"/>
  <c r="I109" i="1"/>
  <c r="I108" i="1" a="1"/>
  <c r="I108" i="1"/>
  <c r="I107" i="1" a="1"/>
  <c r="I107" i="1"/>
  <c r="I106" i="1" a="1"/>
  <c r="I106" i="1"/>
  <c r="I105" i="1" a="1"/>
  <c r="I105" i="1"/>
  <c r="I104" i="1" a="1"/>
  <c r="I104" i="1"/>
  <c r="I103" i="1" a="1"/>
  <c r="I103" i="1"/>
  <c r="I102" i="1" a="1"/>
  <c r="I102" i="1"/>
  <c r="I101" i="1" a="1"/>
  <c r="I101" i="1"/>
  <c r="I100" i="1" a="1"/>
  <c r="I100" i="1"/>
  <c r="I99" i="1" a="1"/>
  <c r="I99" i="1"/>
  <c r="I98" i="1" a="1"/>
  <c r="I98" i="1"/>
  <c r="I97" i="1" a="1"/>
  <c r="I97" i="1"/>
  <c r="I96" i="1" a="1"/>
  <c r="I96" i="1"/>
  <c r="I95" i="1" a="1"/>
  <c r="I95" i="1"/>
  <c r="I94" i="1" a="1"/>
  <c r="I94" i="1"/>
  <c r="I93" i="1" a="1"/>
  <c r="I93" i="1"/>
  <c r="I92" i="1" a="1"/>
  <c r="I92" i="1"/>
  <c r="I91" i="1" a="1"/>
  <c r="I91" i="1"/>
  <c r="I90" i="1" a="1"/>
  <c r="I90" i="1"/>
  <c r="I89" i="1" a="1"/>
  <c r="I89" i="1"/>
  <c r="I88" i="1" a="1"/>
  <c r="I88" i="1"/>
  <c r="I87" i="1" a="1"/>
  <c r="I87" i="1"/>
  <c r="I86" i="1" a="1"/>
  <c r="I86" i="1"/>
  <c r="I85" i="1" a="1"/>
  <c r="I85" i="1"/>
  <c r="I84" i="1" a="1"/>
  <c r="I84" i="1"/>
  <c r="I83" i="1" a="1"/>
  <c r="I83" i="1"/>
  <c r="I82" i="1" a="1"/>
  <c r="I82" i="1"/>
  <c r="I81" i="1" a="1"/>
  <c r="I81" i="1"/>
  <c r="I80" i="1" a="1"/>
  <c r="I80" i="1"/>
  <c r="I79" i="1" a="1"/>
  <c r="I79" i="1"/>
  <c r="I78" i="1" a="1"/>
  <c r="I78" i="1"/>
  <c r="I77" i="1" a="1"/>
  <c r="I77" i="1"/>
  <c r="I76" i="1" a="1"/>
  <c r="I76" i="1"/>
  <c r="I75" i="1" a="1"/>
  <c r="I75" i="1"/>
  <c r="I74" i="1" a="1"/>
  <c r="I74" i="1"/>
  <c r="I73" i="1" a="1"/>
  <c r="I73" i="1"/>
  <c r="I72" i="1" a="1"/>
  <c r="I72" i="1"/>
  <c r="I71" i="1" a="1"/>
  <c r="I71" i="1"/>
  <c r="I70" i="1" a="1"/>
  <c r="I70" i="1"/>
  <c r="I69" i="1" a="1"/>
  <c r="I69" i="1"/>
  <c r="I68" i="1" a="1"/>
  <c r="I68" i="1"/>
  <c r="I67" i="1" a="1"/>
  <c r="I67" i="1"/>
  <c r="I66" i="1" a="1"/>
  <c r="I66" i="1"/>
  <c r="I65" i="1" a="1"/>
  <c r="I65" i="1"/>
  <c r="I64" i="1" a="1"/>
  <c r="I64" i="1"/>
  <c r="I63" i="1" a="1"/>
  <c r="I63" i="1"/>
  <c r="I62" i="1" a="1"/>
  <c r="I62" i="1"/>
  <c r="I61" i="1" a="1"/>
  <c r="I61" i="1"/>
  <c r="I60" i="1" a="1"/>
  <c r="I60" i="1"/>
  <c r="I59" i="1" a="1"/>
  <c r="I59" i="1"/>
  <c r="I58" i="1" a="1"/>
  <c r="I58" i="1"/>
  <c r="I57" i="1" a="1"/>
  <c r="I57" i="1"/>
  <c r="I56" i="1" a="1"/>
  <c r="I56" i="1"/>
  <c r="I55" i="1" a="1"/>
  <c r="I55" i="1"/>
  <c r="I54" i="1" a="1"/>
  <c r="I54" i="1"/>
  <c r="I53" i="1" a="1"/>
  <c r="I53" i="1"/>
  <c r="I52" i="1" a="1"/>
  <c r="I52" i="1"/>
  <c r="I51" i="1" a="1"/>
  <c r="I51" i="1"/>
  <c r="I50" i="1" a="1"/>
  <c r="I50" i="1"/>
  <c r="I49" i="1" a="1"/>
  <c r="I49" i="1"/>
  <c r="I48" i="1" a="1"/>
  <c r="I48" i="1"/>
  <c r="I47" i="1" a="1"/>
  <c r="I47" i="1"/>
  <c r="I46" i="1" a="1"/>
  <c r="I46" i="1"/>
  <c r="I45" i="1" a="1"/>
  <c r="I45" i="1"/>
  <c r="I44" i="1" a="1"/>
  <c r="I44" i="1"/>
  <c r="I43" i="1" a="1"/>
  <c r="I43" i="1"/>
  <c r="I42" i="1" a="1"/>
  <c r="I42" i="1"/>
  <c r="I41" i="1" a="1"/>
  <c r="I41" i="1"/>
  <c r="I40" i="1" a="1"/>
  <c r="I40" i="1"/>
  <c r="I39" i="1" a="1"/>
  <c r="I39" i="1"/>
  <c r="I38" i="1" a="1"/>
  <c r="I38" i="1"/>
  <c r="I37" i="1" a="1"/>
  <c r="I37" i="1"/>
  <c r="I36" i="1" a="1"/>
  <c r="I36" i="1"/>
  <c r="I35" i="1" a="1"/>
  <c r="I35" i="1"/>
  <c r="I34" i="1" a="1"/>
  <c r="I34" i="1"/>
  <c r="I33" i="1" a="1"/>
  <c r="I33" i="1"/>
  <c r="I32" i="1" a="1"/>
  <c r="I32" i="1"/>
  <c r="I31" i="1" a="1"/>
  <c r="I31" i="1"/>
  <c r="I30" i="1" a="1"/>
  <c r="I30" i="1"/>
  <c r="I29" i="1" a="1"/>
  <c r="I29" i="1"/>
  <c r="I28" i="1" a="1"/>
  <c r="I28" i="1"/>
  <c r="I27" i="1" a="1"/>
  <c r="I27" i="1"/>
  <c r="I26" i="1" a="1"/>
  <c r="I26" i="1"/>
  <c r="I25" i="1" a="1"/>
  <c r="I25" i="1"/>
  <c r="I24" i="1" a="1"/>
  <c r="I24" i="1"/>
  <c r="L7" i="2"/>
  <c r="H12" i="2" a="1"/>
  <c r="H12" i="2"/>
  <c r="H13" i="2" a="1"/>
  <c r="H13" i="2"/>
  <c r="H14" i="2" a="1"/>
  <c r="H14" i="2"/>
  <c r="H15" i="2" a="1"/>
  <c r="H15" i="2"/>
  <c r="H16" i="2" a="1"/>
  <c r="H16" i="2"/>
  <c r="H17" i="2" a="1"/>
  <c r="H17" i="2"/>
  <c r="H18" i="2" a="1"/>
  <c r="H18" i="2"/>
  <c r="H19" i="2" a="1"/>
  <c r="H19" i="2"/>
  <c r="H20" i="2" a="1"/>
  <c r="H20" i="2"/>
  <c r="H21" i="2" a="1"/>
  <c r="H21" i="2"/>
  <c r="H22" i="2" a="1"/>
  <c r="H22" i="2"/>
  <c r="H23" i="2" a="1"/>
  <c r="H23" i="2"/>
  <c r="H24" i="2" a="1"/>
  <c r="H24" i="2"/>
  <c r="H25" i="2" a="1"/>
  <c r="H25" i="2"/>
  <c r="H26" i="2" a="1"/>
  <c r="H26" i="2"/>
  <c r="H27" i="2" a="1"/>
  <c r="H27" i="2"/>
  <c r="H28" i="2" a="1"/>
  <c r="H28" i="2"/>
  <c r="H29" i="2" a="1"/>
  <c r="H29" i="2"/>
  <c r="H30" i="2" a="1"/>
  <c r="H30" i="2"/>
  <c r="H31" i="2" a="1"/>
  <c r="H31" i="2"/>
  <c r="H32" i="2" a="1"/>
  <c r="H32" i="2"/>
  <c r="H33" i="2" a="1"/>
  <c r="H33" i="2"/>
  <c r="H34" i="2" a="1"/>
  <c r="H34" i="2"/>
  <c r="H35" i="2" a="1"/>
  <c r="H35" i="2"/>
  <c r="H36" i="2" a="1"/>
  <c r="H36" i="2"/>
  <c r="H37" i="2" a="1"/>
  <c r="H37" i="2"/>
  <c r="H38" i="2" a="1"/>
  <c r="H38" i="2"/>
  <c r="H39" i="2" a="1"/>
  <c r="H39" i="2"/>
  <c r="H40" i="2" a="1"/>
  <c r="H40" i="2"/>
  <c r="H41" i="2" a="1"/>
  <c r="H41" i="2"/>
  <c r="H42" i="2" a="1"/>
  <c r="H42" i="2"/>
  <c r="H43" i="2" a="1"/>
  <c r="H43" i="2"/>
  <c r="H44" i="2" a="1"/>
  <c r="H44" i="2"/>
  <c r="H45" i="2" a="1"/>
  <c r="H45" i="2"/>
  <c r="H46" i="2" a="1"/>
  <c r="H46" i="2"/>
  <c r="H47" i="2" a="1"/>
  <c r="H47" i="2"/>
  <c r="H48" i="2" a="1"/>
  <c r="H48" i="2"/>
  <c r="H49" i="2" a="1"/>
  <c r="H49" i="2"/>
  <c r="H50" i="2" a="1"/>
  <c r="H50" i="2"/>
  <c r="H51" i="2" a="1"/>
  <c r="H51" i="2"/>
  <c r="H52" i="2" a="1"/>
  <c r="H52" i="2"/>
  <c r="H53" i="2" a="1"/>
  <c r="H53" i="2"/>
  <c r="H54" i="2" a="1"/>
  <c r="H54" i="2"/>
  <c r="H55" i="2" a="1"/>
  <c r="H55" i="2"/>
  <c r="H56" i="2" a="1"/>
  <c r="H56" i="2"/>
  <c r="H57" i="2" a="1"/>
  <c r="H57" i="2"/>
  <c r="H58" i="2" a="1"/>
  <c r="H58" i="2"/>
  <c r="H59" i="2" a="1"/>
  <c r="H59" i="2"/>
  <c r="H60" i="2" a="1"/>
  <c r="H60" i="2"/>
  <c r="H61" i="2" a="1"/>
  <c r="H61" i="2"/>
  <c r="H62" i="2" a="1"/>
  <c r="H62" i="2"/>
  <c r="H63" i="2" a="1"/>
  <c r="H63" i="2"/>
  <c r="H64" i="2" a="1"/>
  <c r="H64" i="2"/>
  <c r="H65" i="2" a="1"/>
  <c r="H65" i="2"/>
  <c r="H66" i="2" a="1"/>
  <c r="H66" i="2"/>
  <c r="H67" i="2" a="1"/>
  <c r="H67" i="2"/>
  <c r="H68" i="2" a="1"/>
  <c r="H68" i="2"/>
  <c r="H69" i="2" a="1"/>
  <c r="H69" i="2"/>
  <c r="H70" i="2" a="1"/>
  <c r="H70" i="2"/>
  <c r="H71" i="2" a="1"/>
  <c r="H71" i="2"/>
  <c r="H72" i="2" a="1"/>
  <c r="H72" i="2"/>
  <c r="H73" i="2" a="1"/>
  <c r="H73" i="2"/>
  <c r="H74" i="2" a="1"/>
  <c r="H74" i="2"/>
  <c r="H75" i="2" a="1"/>
  <c r="H75" i="2"/>
  <c r="H76" i="2" a="1"/>
  <c r="H76" i="2"/>
  <c r="H77" i="2" a="1"/>
  <c r="H77" i="2"/>
  <c r="H78" i="2" a="1"/>
  <c r="H78" i="2"/>
  <c r="H79" i="2" a="1"/>
  <c r="H79" i="2"/>
  <c r="H80" i="2" a="1"/>
  <c r="H80" i="2"/>
  <c r="H81" i="2" a="1"/>
  <c r="H81" i="2"/>
  <c r="H82" i="2" a="1"/>
  <c r="H82" i="2"/>
  <c r="H83" i="2" a="1"/>
  <c r="H83" i="2"/>
  <c r="H84" i="2" a="1"/>
  <c r="H84" i="2"/>
  <c r="H85" i="2" a="1"/>
  <c r="H85" i="2"/>
  <c r="H86" i="2" a="1"/>
  <c r="H86" i="2"/>
  <c r="H87" i="2" a="1"/>
  <c r="H87" i="2"/>
  <c r="H88" i="2" a="1"/>
  <c r="H88" i="2"/>
  <c r="H89" i="2" a="1"/>
  <c r="H89" i="2"/>
  <c r="H90" i="2" a="1"/>
  <c r="H90" i="2"/>
  <c r="H91" i="2" a="1"/>
  <c r="H91" i="2"/>
  <c r="H92" i="2" a="1"/>
  <c r="H92" i="2"/>
  <c r="H93" i="2" a="1"/>
  <c r="H93" i="2"/>
  <c r="H94" i="2" a="1"/>
  <c r="H94" i="2"/>
  <c r="H95" i="2" a="1"/>
  <c r="H95" i="2"/>
  <c r="H96" i="2" a="1"/>
  <c r="H96" i="2"/>
  <c r="H97" i="2" a="1"/>
  <c r="H97" i="2"/>
  <c r="H98" i="2" a="1"/>
  <c r="H98" i="2"/>
  <c r="H99" i="2" a="1"/>
  <c r="H99" i="2"/>
  <c r="H100" i="2" a="1"/>
  <c r="H100" i="2"/>
  <c r="H101" i="2" a="1"/>
  <c r="H101" i="2"/>
  <c r="H102" i="2" a="1"/>
  <c r="H102" i="2"/>
  <c r="H103" i="2" a="1"/>
  <c r="H103" i="2"/>
  <c r="H104" i="2" a="1"/>
  <c r="H104" i="2"/>
  <c r="H105" i="2" a="1"/>
  <c r="H105" i="2"/>
  <c r="H106" i="2" a="1"/>
  <c r="H106" i="2"/>
  <c r="H107" i="2" a="1"/>
  <c r="H107" i="2"/>
  <c r="H108" i="2" a="1"/>
  <c r="H108" i="2"/>
  <c r="H109" i="2" a="1"/>
  <c r="H109" i="2"/>
  <c r="H110" i="2" a="1"/>
  <c r="H110" i="2"/>
  <c r="H111" i="2" a="1"/>
  <c r="H111" i="2"/>
</calcChain>
</file>

<file path=xl/sharedStrings.xml><?xml version="1.0" encoding="utf-8"?>
<sst xmlns="http://schemas.openxmlformats.org/spreadsheetml/2006/main" count="586" uniqueCount="141">
  <si>
    <t>Asset Class</t>
  </si>
  <si>
    <t>Expected Ret.</t>
  </si>
  <si>
    <t>Stdev</t>
  </si>
  <si>
    <t>US Equity</t>
  </si>
  <si>
    <t>Foreign Equity</t>
  </si>
  <si>
    <t>Bonds</t>
  </si>
  <si>
    <t>REITs</t>
  </si>
  <si>
    <t>Commodities</t>
  </si>
  <si>
    <t>expected-return</t>
    <phoneticPr fontId="2" type="noConversion"/>
  </si>
  <si>
    <t>expected-variance</t>
    <phoneticPr fontId="2" type="noConversion"/>
  </si>
  <si>
    <t xml:space="preserve">sharpe </t>
    <phoneticPr fontId="2" type="noConversion"/>
  </si>
  <si>
    <t>COV</t>
    <phoneticPr fontId="2" type="noConversion"/>
  </si>
  <si>
    <t>risk-free-rate</t>
    <phoneticPr fontId="2" type="noConversion"/>
  </si>
  <si>
    <t>sum</t>
    <phoneticPr fontId="2" type="noConversion"/>
  </si>
  <si>
    <t>port2</t>
    <phoneticPr fontId="2" type="noConversion"/>
  </si>
  <si>
    <t>port1</t>
    <phoneticPr fontId="2" type="noConversion"/>
  </si>
  <si>
    <t>port3</t>
  </si>
  <si>
    <t>port4</t>
  </si>
  <si>
    <t>port5</t>
  </si>
  <si>
    <t>port6</t>
  </si>
  <si>
    <t>port7</t>
  </si>
  <si>
    <t>port8</t>
  </si>
  <si>
    <t>port9</t>
  </si>
  <si>
    <t>port10</t>
  </si>
  <si>
    <t>port11</t>
  </si>
  <si>
    <t>port12</t>
  </si>
  <si>
    <t>port13</t>
  </si>
  <si>
    <t>port14</t>
  </si>
  <si>
    <t>port15</t>
  </si>
  <si>
    <t>port16</t>
  </si>
  <si>
    <t>port17</t>
  </si>
  <si>
    <t>port18</t>
  </si>
  <si>
    <t>port19</t>
  </si>
  <si>
    <t>port20</t>
  </si>
  <si>
    <t>port21</t>
  </si>
  <si>
    <t>port22</t>
  </si>
  <si>
    <t>port23</t>
  </si>
  <si>
    <t>port24</t>
  </si>
  <si>
    <t>port25</t>
  </si>
  <si>
    <t>port26</t>
  </si>
  <si>
    <t>port27</t>
  </si>
  <si>
    <t>port28</t>
  </si>
  <si>
    <t>port29</t>
  </si>
  <si>
    <t>port30</t>
  </si>
  <si>
    <t>port31</t>
  </si>
  <si>
    <t>port32</t>
  </si>
  <si>
    <t>port33</t>
  </si>
  <si>
    <t>port34</t>
  </si>
  <si>
    <t>port35</t>
  </si>
  <si>
    <t>port36</t>
  </si>
  <si>
    <t>port37</t>
  </si>
  <si>
    <t>port38</t>
  </si>
  <si>
    <t>port39</t>
  </si>
  <si>
    <t>port40</t>
  </si>
  <si>
    <t>port41</t>
  </si>
  <si>
    <t>port42</t>
  </si>
  <si>
    <t>port43</t>
  </si>
  <si>
    <t>port44</t>
  </si>
  <si>
    <t>port45</t>
  </si>
  <si>
    <t>port46</t>
  </si>
  <si>
    <t>port47</t>
  </si>
  <si>
    <t>port48</t>
  </si>
  <si>
    <t>port49</t>
  </si>
  <si>
    <t>port50</t>
  </si>
  <si>
    <t>port51</t>
  </si>
  <si>
    <t>port52</t>
  </si>
  <si>
    <t>port53</t>
  </si>
  <si>
    <t>port54</t>
  </si>
  <si>
    <t>port55</t>
  </si>
  <si>
    <t>port56</t>
  </si>
  <si>
    <t>port57</t>
  </si>
  <si>
    <t>port58</t>
  </si>
  <si>
    <t>port59</t>
  </si>
  <si>
    <t>port60</t>
  </si>
  <si>
    <t>port61</t>
  </si>
  <si>
    <t>port62</t>
  </si>
  <si>
    <t>port63</t>
  </si>
  <si>
    <t>port64</t>
  </si>
  <si>
    <t>port65</t>
  </si>
  <si>
    <t>port66</t>
  </si>
  <si>
    <t>port67</t>
  </si>
  <si>
    <t>port68</t>
  </si>
  <si>
    <t>port69</t>
  </si>
  <si>
    <t>port70</t>
  </si>
  <si>
    <t>port71</t>
  </si>
  <si>
    <t>port72</t>
  </si>
  <si>
    <t>port73</t>
  </si>
  <si>
    <t>port74</t>
  </si>
  <si>
    <t>port75</t>
  </si>
  <si>
    <t>port76</t>
  </si>
  <si>
    <t>port77</t>
  </si>
  <si>
    <t>port78</t>
  </si>
  <si>
    <t>port79</t>
  </si>
  <si>
    <t>port80</t>
  </si>
  <si>
    <t>port81</t>
  </si>
  <si>
    <t>port82</t>
  </si>
  <si>
    <t>port83</t>
  </si>
  <si>
    <t>port84</t>
  </si>
  <si>
    <t>port85</t>
  </si>
  <si>
    <t>port86</t>
  </si>
  <si>
    <t>port87</t>
  </si>
  <si>
    <t>port88</t>
  </si>
  <si>
    <t>port89</t>
  </si>
  <si>
    <t>port90</t>
  </si>
  <si>
    <t>port91</t>
  </si>
  <si>
    <t>port92</t>
  </si>
  <si>
    <t>port93</t>
  </si>
  <si>
    <t>port94</t>
  </si>
  <si>
    <t>port95</t>
  </si>
  <si>
    <t>port96</t>
  </si>
  <si>
    <t>port97</t>
  </si>
  <si>
    <t>port98</t>
  </si>
  <si>
    <t>port99</t>
  </si>
  <si>
    <t>port100</t>
  </si>
  <si>
    <t xml:space="preserve"> scenario</t>
    <phoneticPr fontId="2" type="noConversion"/>
  </si>
  <si>
    <t>real-return</t>
    <phoneticPr fontId="2" type="noConversion"/>
  </si>
  <si>
    <t>Corvariance</t>
    <phoneticPr fontId="2" type="noConversion"/>
  </si>
  <si>
    <t>Assert</t>
    <phoneticPr fontId="2" type="noConversion"/>
  </si>
  <si>
    <t>Portion</t>
    <phoneticPr fontId="2" type="noConversion"/>
  </si>
  <si>
    <t>MAX-Sharpe-Portfolio</t>
    <phoneticPr fontId="2" type="noConversion"/>
  </si>
  <si>
    <t>expected-variance</t>
  </si>
  <si>
    <t>Plot</t>
    <phoneticPr fontId="2" type="noConversion"/>
  </si>
  <si>
    <t>Corvariance</t>
  </si>
  <si>
    <t>COV</t>
  </si>
  <si>
    <t>MAX-Sharpe-Portfolio</t>
    <phoneticPr fontId="2" type="noConversion"/>
  </si>
  <si>
    <t>Assert</t>
    <phoneticPr fontId="2" type="noConversion"/>
  </si>
  <si>
    <t>Portion</t>
    <phoneticPr fontId="2" type="noConversion"/>
  </si>
  <si>
    <t>risk-free-rate</t>
    <phoneticPr fontId="2" type="noConversion"/>
  </si>
  <si>
    <t>expected-return</t>
    <phoneticPr fontId="2" type="noConversion"/>
  </si>
  <si>
    <t>expected-variance</t>
    <phoneticPr fontId="2" type="noConversion"/>
  </si>
  <si>
    <t xml:space="preserve">sharpe </t>
    <phoneticPr fontId="2" type="noConversion"/>
  </si>
  <si>
    <t>real-return</t>
    <phoneticPr fontId="2" type="noConversion"/>
  </si>
  <si>
    <t>port2</t>
  </si>
  <si>
    <t>port101</t>
  </si>
  <si>
    <t>5 Asserts</t>
    <phoneticPr fontId="2" type="noConversion"/>
  </si>
  <si>
    <t>Plot</t>
    <phoneticPr fontId="2" type="noConversion"/>
  </si>
  <si>
    <t>3 Asserts</t>
    <phoneticPr fontId="2" type="noConversion"/>
  </si>
  <si>
    <t>expected-return</t>
  </si>
  <si>
    <t>添加REITs</t>
    <rPh sb="0" eb="1">
      <t>tian jia</t>
    </rPh>
    <phoneticPr fontId="2" type="noConversion"/>
  </si>
  <si>
    <t>添加Commodities</t>
    <rPh sb="0" eb="1">
      <t>tian jia</t>
    </rPh>
    <phoneticPr fontId="2" type="noConversion"/>
  </si>
  <si>
    <t>Commodities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</si>
</sst>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DengXian"/>
      <family val="2"/>
      <charset val="134"/>
      <scheme val="minor"/>
    </font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0"/>
      <name val="Arial"/>
      <family val="2"/>
    </font>
    <font>
      <u/>
      <sz val="12"/>
      <color theme="10"/>
      <name val="DengXian"/>
      <family val="2"/>
      <charset val="134"/>
      <scheme val="minor"/>
    </font>
    <font>
      <u/>
      <sz val="12"/>
      <color theme="11"/>
      <name val="DengXian"/>
      <family val="2"/>
      <charset val="134"/>
      <scheme val="minor"/>
    </font>
    <font>
      <sz val="10.9"/>
      <name val="Arial"/>
      <family val="2"/>
    </font>
    <font>
      <sz val="18"/>
      <name val="Arial"/>
      <family val="2"/>
    </font>
    <font>
      <sz val="20"/>
      <color theme="1"/>
      <name val="DengXian"/>
      <family val="2"/>
      <charset val="134"/>
      <scheme val="minor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4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9">
    <xf numFmtId="0" fontId="0" fillId="0" borderId="0" xfId="0"/>
    <xf numFmtId="10" fontId="0" fillId="0" borderId="0" xfId="35" applyNumberFormat="1" applyFont="1" applyBorder="1" applyAlignment="1">
      <alignment horizontal="center"/>
    </xf>
    <xf numFmtId="10" fontId="0" fillId="0" borderId="0" xfId="35" applyNumberFormat="1" applyFont="1" applyAlignment="1">
      <alignment horizontal="center"/>
    </xf>
    <xf numFmtId="10" fontId="0" fillId="0" borderId="1" xfId="35" applyNumberFormat="1" applyFont="1" applyBorder="1" applyAlignment="1">
      <alignment horizontal="center"/>
    </xf>
    <xf numFmtId="10" fontId="3" fillId="0" borderId="1" xfId="35" applyNumberFormat="1" applyFont="1" applyFill="1" applyBorder="1" applyAlignment="1" applyProtection="1">
      <alignment horizontal="center" vertical="top"/>
    </xf>
    <xf numFmtId="10" fontId="3" fillId="0" borderId="0" xfId="35" applyNumberFormat="1" applyFont="1" applyFill="1" applyBorder="1" applyAlignment="1" applyProtection="1">
      <alignment horizontal="center" vertical="top"/>
    </xf>
    <xf numFmtId="10" fontId="7" fillId="0" borderId="0" xfId="35" applyNumberFormat="1" applyFont="1" applyFill="1" applyBorder="1" applyAlignment="1" applyProtection="1">
      <alignment horizontal="center" vertical="top"/>
    </xf>
    <xf numFmtId="10" fontId="6" fillId="0" borderId="1" xfId="35" applyNumberFormat="1" applyFont="1" applyFill="1" applyBorder="1" applyAlignment="1" applyProtection="1">
      <alignment horizontal="center" vertical="top"/>
    </xf>
    <xf numFmtId="10" fontId="0" fillId="0" borderId="5" xfId="35" applyNumberFormat="1" applyFont="1" applyBorder="1" applyAlignment="1">
      <alignment horizontal="center"/>
    </xf>
    <xf numFmtId="10" fontId="1" fillId="0" borderId="0" xfId="35" applyNumberFormat="1" applyFont="1" applyBorder="1" applyAlignment="1">
      <alignment horizontal="center"/>
    </xf>
    <xf numFmtId="10" fontId="1" fillId="0" borderId="0" xfId="35" applyNumberFormat="1" applyFont="1" applyAlignment="1">
      <alignment horizontal="center"/>
    </xf>
    <xf numFmtId="10" fontId="1" fillId="0" borderId="1" xfId="35" applyNumberFormat="1" applyFont="1" applyBorder="1" applyAlignment="1">
      <alignment horizontal="center"/>
    </xf>
    <xf numFmtId="10" fontId="9" fillId="0" borderId="1" xfId="35" applyNumberFormat="1" applyFont="1" applyFill="1" applyBorder="1" applyAlignment="1" applyProtection="1">
      <alignment horizontal="center" vertical="top"/>
    </xf>
    <xf numFmtId="10" fontId="9" fillId="0" borderId="0" xfId="35" applyNumberFormat="1" applyFont="1" applyFill="1" applyBorder="1" applyAlignment="1" applyProtection="1">
      <alignment horizontal="center" vertical="top"/>
    </xf>
    <xf numFmtId="10" fontId="1" fillId="0" borderId="5" xfId="35" applyNumberFormat="1" applyFont="1" applyBorder="1" applyAlignment="1">
      <alignment horizontal="center"/>
    </xf>
    <xf numFmtId="10" fontId="3" fillId="0" borderId="1" xfId="35" applyNumberFormat="1" applyFont="1" applyBorder="1" applyAlignment="1">
      <alignment horizontal="center" vertical="top"/>
    </xf>
    <xf numFmtId="10" fontId="0" fillId="0" borderId="1" xfId="35" applyNumberFormat="1" applyFont="1" applyFill="1" applyBorder="1" applyAlignment="1">
      <alignment horizontal="center"/>
    </xf>
    <xf numFmtId="10" fontId="7" fillId="0" borderId="1" xfId="35" applyNumberFormat="1" applyFont="1" applyFill="1" applyBorder="1" applyAlignment="1" applyProtection="1">
      <alignment horizontal="center" vertical="top"/>
    </xf>
    <xf numFmtId="10" fontId="8" fillId="0" borderId="2" xfId="35" applyNumberFormat="1" applyFont="1" applyBorder="1" applyAlignment="1">
      <alignment horizontal="center"/>
    </xf>
    <xf numFmtId="10" fontId="8" fillId="0" borderId="4" xfId="35" applyNumberFormat="1" applyFont="1" applyBorder="1" applyAlignment="1">
      <alignment horizontal="center"/>
    </xf>
    <xf numFmtId="10" fontId="0" fillId="0" borderId="1" xfId="35" applyNumberFormat="1" applyFont="1" applyBorder="1" applyAlignment="1">
      <alignment horizontal="center"/>
    </xf>
    <xf numFmtId="10" fontId="0" fillId="0" borderId="2" xfId="35" applyNumberFormat="1" applyFont="1" applyBorder="1" applyAlignment="1">
      <alignment horizontal="center"/>
    </xf>
    <xf numFmtId="10" fontId="0" fillId="0" borderId="3" xfId="35" applyNumberFormat="1" applyFont="1" applyBorder="1" applyAlignment="1">
      <alignment horizontal="center"/>
    </xf>
    <xf numFmtId="10" fontId="0" fillId="0" borderId="4" xfId="35" applyNumberFormat="1" applyFont="1" applyBorder="1" applyAlignment="1">
      <alignment horizontal="center"/>
    </xf>
    <xf numFmtId="10" fontId="9" fillId="0" borderId="1" xfId="35" applyNumberFormat="1" applyFont="1" applyFill="1" applyBorder="1" applyAlignment="1" applyProtection="1">
      <alignment horizontal="center" vertical="top"/>
    </xf>
    <xf numFmtId="10" fontId="1" fillId="0" borderId="1" xfId="35" applyNumberFormat="1" applyFont="1" applyBorder="1" applyAlignment="1">
      <alignment horizontal="center"/>
    </xf>
    <xf numFmtId="10" fontId="1" fillId="0" borderId="2" xfId="35" applyNumberFormat="1" applyFont="1" applyBorder="1" applyAlignment="1">
      <alignment horizontal="center"/>
    </xf>
    <xf numFmtId="10" fontId="1" fillId="0" borderId="3" xfId="35" applyNumberFormat="1" applyFont="1" applyBorder="1" applyAlignment="1">
      <alignment horizontal="center"/>
    </xf>
    <xf numFmtId="10" fontId="1" fillId="0" borderId="4" xfId="35" applyNumberFormat="1" applyFont="1" applyBorder="1" applyAlignment="1">
      <alignment horizontal="center"/>
    </xf>
  </cellXfs>
  <cellStyles count="4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Normal" xfId="0" builtinId="0"/>
    <cellStyle name="Percent" xfId="35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3 Asserts Potfolios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risk-return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>
                    <a:alpha val="0"/>
                  </a:schemeClr>
                </a:solidFill>
              </a:ln>
              <a:effectLst/>
            </c:spPr>
          </c:marker>
          <c:xVal>
            <c:numRef>
              <c:f>'3种资产的组合'!$J$11:$J$111</c:f>
              <c:numCache>
                <c:formatCode>0.00%</c:formatCode>
                <c:ptCount val="101"/>
                <c:pt idx="0">
                  <c:v>0.109561463955793</c:v>
                </c:pt>
                <c:pt idx="1">
                  <c:v>0.108536187153954</c:v>
                </c:pt>
                <c:pt idx="2">
                  <c:v>0.107532561719727</c:v>
                </c:pt>
                <c:pt idx="3">
                  <c:v>0.106551199101848</c:v>
                </c:pt>
                <c:pt idx="4">
                  <c:v>0.105592720023789</c:v>
                </c:pt>
                <c:pt idx="5">
                  <c:v>0.104657765848974</c:v>
                </c:pt>
                <c:pt idx="6">
                  <c:v>0.103746946633586</c:v>
                </c:pt>
                <c:pt idx="7">
                  <c:v>0.102860916829627</c:v>
                </c:pt>
                <c:pt idx="8">
                  <c:v>0.10200032244173</c:v>
                </c:pt>
                <c:pt idx="9">
                  <c:v>0.101165812591746</c:v>
                </c:pt>
                <c:pt idx="10">
                  <c:v>0.100358027106818</c:v>
                </c:pt>
                <c:pt idx="11">
                  <c:v>0.0995776492564932</c:v>
                </c:pt>
                <c:pt idx="12">
                  <c:v>0.0988252951749633</c:v>
                </c:pt>
                <c:pt idx="13">
                  <c:v>0.0981016207477434</c:v>
                </c:pt>
                <c:pt idx="14">
                  <c:v>0.0974072651920561</c:v>
                </c:pt>
                <c:pt idx="15">
                  <c:v>0.0967428598037241</c:v>
                </c:pt>
                <c:pt idx="16">
                  <c:v>0.0961090257247283</c:v>
                </c:pt>
                <c:pt idx="17">
                  <c:v>0.0955063716222953</c:v>
                </c:pt>
                <c:pt idx="18">
                  <c:v>0.0949354912933064</c:v>
                </c:pt>
                <c:pt idx="19">
                  <c:v>0.0943969612100567</c:v>
                </c:pt>
                <c:pt idx="20">
                  <c:v>0.0938913380255626</c:v>
                </c:pt>
                <c:pt idx="21">
                  <c:v>0.0934191560586691</c:v>
                </c:pt>
                <c:pt idx="22">
                  <c:v>0.0929809247810726</c:v>
                </c:pt>
                <c:pt idx="23">
                  <c:v>0.0925771263299904</c:v>
                </c:pt>
                <c:pt idx="24">
                  <c:v>0.0922082130715076</c:v>
                </c:pt>
                <c:pt idx="25">
                  <c:v>0.0918746052405564</c:v>
                </c:pt>
                <c:pt idx="26">
                  <c:v>0.0915766886839747</c:v>
                </c:pt>
                <c:pt idx="27">
                  <c:v>0.0913148127331003</c:v>
                </c:pt>
                <c:pt idx="28">
                  <c:v>0.0910892882318593</c:v>
                </c:pt>
                <c:pt idx="29">
                  <c:v>0.0909003857452668</c:v>
                </c:pt>
                <c:pt idx="30">
                  <c:v>0.090746538653681</c:v>
                </c:pt>
                <c:pt idx="31">
                  <c:v>0.0906200524481128</c:v>
                </c:pt>
                <c:pt idx="32">
                  <c:v>0.0905201178580684</c:v>
                </c:pt>
                <c:pt idx="33">
                  <c:v>0.0904468228944266</c:v>
                </c:pt>
                <c:pt idx="34">
                  <c:v>0.0904002323540137</c:v>
                </c:pt>
                <c:pt idx="35">
                  <c:v>0.0903803875334706</c:v>
                </c:pt>
                <c:pt idx="36">
                  <c:v>0.0903873060491228</c:v>
                </c:pt>
                <c:pt idx="37">
                  <c:v>0.0904209817576212</c:v>
                </c:pt>
                <c:pt idx="38">
                  <c:v>0.0904813847831865</c:v>
                </c:pt>
                <c:pt idx="39">
                  <c:v>0.0905684616499081</c:v>
                </c:pt>
                <c:pt idx="40">
                  <c:v>0.0906821355177274</c:v>
                </c:pt>
                <c:pt idx="41">
                  <c:v>0.0908223086210095</c:v>
                </c:pt>
                <c:pt idx="42">
                  <c:v>0.0909888546604811</c:v>
                </c:pt>
                <c:pt idx="43">
                  <c:v>0.0911816308497006</c:v>
                </c:pt>
                <c:pt idx="44">
                  <c:v>0.0914004712212842</c:v>
                </c:pt>
                <c:pt idx="45">
                  <c:v>0.0916451890672342</c:v>
                </c:pt>
                <c:pt idx="46">
                  <c:v>0.0919155776816097</c:v>
                </c:pt>
                <c:pt idx="47">
                  <c:v>0.0922114112515134</c:v>
                </c:pt>
                <c:pt idx="48">
                  <c:v>0.0925324457286429</c:v>
                </c:pt>
                <c:pt idx="49">
                  <c:v>0.092878419776615</c:v>
                </c:pt>
                <c:pt idx="50">
                  <c:v>0.0932490558662815</c:v>
                </c:pt>
                <c:pt idx="51">
                  <c:v>0.093644061087314</c:v>
                </c:pt>
                <c:pt idx="52">
                  <c:v>0.0940631284289395</c:v>
                </c:pt>
                <c:pt idx="53">
                  <c:v>0.0945059378692088</c:v>
                </c:pt>
                <c:pt idx="54">
                  <c:v>0.0949721572794634</c:v>
                </c:pt>
                <c:pt idx="55">
                  <c:v>0.0954614436679454</c:v>
                </c:pt>
                <c:pt idx="56">
                  <c:v>0.0959734442850466</c:v>
                </c:pt>
                <c:pt idx="57">
                  <c:v>0.0965077975262485</c:v>
                </c:pt>
                <c:pt idx="58">
                  <c:v>0.0970641342715042</c:v>
                </c:pt>
                <c:pt idx="59">
                  <c:v>0.0976420787543087</c:v>
                </c:pt>
                <c:pt idx="60">
                  <c:v>0.098241249626241</c:v>
                </c:pt>
                <c:pt idx="61">
                  <c:v>0.0988612609461612</c:v>
                </c:pt>
                <c:pt idx="62">
                  <c:v>0.0995017231342322</c:v>
                </c:pt>
                <c:pt idx="63">
                  <c:v>0.100162243887478</c:v>
                </c:pt>
                <c:pt idx="64">
                  <c:v>0.100842429054166</c:v>
                </c:pt>
                <c:pt idx="65">
                  <c:v>0.10154188346486</c:v>
                </c:pt>
                <c:pt idx="66">
                  <c:v>0.102260221622074</c:v>
                </c:pt>
                <c:pt idx="67">
                  <c:v>0.102997029074857</c:v>
                </c:pt>
                <c:pt idx="68">
                  <c:v>0.1037519217816</c:v>
                </c:pt>
                <c:pt idx="69">
                  <c:v>0.104524507899249</c:v>
                </c:pt>
                <c:pt idx="70">
                  <c:v>0.105314398032092</c:v>
                </c:pt>
                <c:pt idx="71">
                  <c:v>0.106121205784802</c:v>
                </c:pt>
                <c:pt idx="72">
                  <c:v>0.106944548269913</c:v>
                </c:pt>
                <c:pt idx="73">
                  <c:v>0.10778404657076</c:v>
                </c:pt>
                <c:pt idx="74">
                  <c:v>0.108639326161186</c:v>
                </c:pt>
                <c:pt idx="75">
                  <c:v>0.109510017283454</c:v>
                </c:pt>
                <c:pt idx="76">
                  <c:v>0.110395755285993</c:v>
                </c:pt>
                <c:pt idx="77">
                  <c:v>0.111296180922725</c:v>
                </c:pt>
                <c:pt idx="78">
                  <c:v>0.112210940615789</c:v>
                </c:pt>
                <c:pt idx="79">
                  <c:v>0.113139686683554</c:v>
                </c:pt>
                <c:pt idx="80">
                  <c:v>0.11408207753588</c:v>
                </c:pt>
                <c:pt idx="81">
                  <c:v>0.115037777838538</c:v>
                </c:pt>
                <c:pt idx="82">
                  <c:v>0.116006445291757</c:v>
                </c:pt>
                <c:pt idx="83">
                  <c:v>0.116987797523981</c:v>
                </c:pt>
                <c:pt idx="84">
                  <c:v>0.117981478605198</c:v>
                </c:pt>
                <c:pt idx="85">
                  <c:v>0.118987192677625</c:v>
                </c:pt>
                <c:pt idx="86">
                  <c:v>0.12000463720962</c:v>
                </c:pt>
                <c:pt idx="87">
                  <c:v>0.121033516372118</c:v>
                </c:pt>
                <c:pt idx="88">
                  <c:v>0.122073541040078</c:v>
                </c:pt>
                <c:pt idx="89">
                  <c:v>0.123124428777576</c:v>
                </c:pt>
                <c:pt idx="90">
                  <c:v>0.124185903808048</c:v>
                </c:pt>
                <c:pt idx="91">
                  <c:v>0.125257696971149</c:v>
                </c:pt>
                <c:pt idx="92">
                  <c:v>0.126339545667567</c:v>
                </c:pt>
                <c:pt idx="93">
                  <c:v>0.127431193793101</c:v>
                </c:pt>
                <c:pt idx="94">
                  <c:v>0.12853239166319</c:v>
                </c:pt>
                <c:pt idx="95">
                  <c:v>0.129642895929014</c:v>
                </c:pt>
                <c:pt idx="96">
                  <c:v>0.130762469486238</c:v>
                </c:pt>
                <c:pt idx="97">
                  <c:v>0.13189088137735</c:v>
                </c:pt>
                <c:pt idx="98">
                  <c:v>0.133027906688507</c:v>
                </c:pt>
                <c:pt idx="99">
                  <c:v>0.134715469497213</c:v>
                </c:pt>
                <c:pt idx="100">
                  <c:v>0.138650667890696</c:v>
                </c:pt>
              </c:numCache>
            </c:numRef>
          </c:xVal>
          <c:yVal>
            <c:numRef>
              <c:f>'3种资产的组合'!$K$11:$K$111</c:f>
              <c:numCache>
                <c:formatCode>0.00%</c:formatCode>
                <c:ptCount val="101"/>
                <c:pt idx="0">
                  <c:v>0.055</c:v>
                </c:pt>
                <c:pt idx="1">
                  <c:v>0.05573</c:v>
                </c:pt>
                <c:pt idx="2">
                  <c:v>0.05646</c:v>
                </c:pt>
                <c:pt idx="3">
                  <c:v>0.05719</c:v>
                </c:pt>
                <c:pt idx="4">
                  <c:v>0.05792</c:v>
                </c:pt>
                <c:pt idx="5">
                  <c:v>0.05865</c:v>
                </c:pt>
                <c:pt idx="6">
                  <c:v>0.05938</c:v>
                </c:pt>
                <c:pt idx="7">
                  <c:v>0.06011</c:v>
                </c:pt>
                <c:pt idx="8">
                  <c:v>0.06084</c:v>
                </c:pt>
                <c:pt idx="9">
                  <c:v>0.06157</c:v>
                </c:pt>
                <c:pt idx="10">
                  <c:v>0.0623</c:v>
                </c:pt>
                <c:pt idx="11">
                  <c:v>0.06303</c:v>
                </c:pt>
                <c:pt idx="12">
                  <c:v>0.06376</c:v>
                </c:pt>
                <c:pt idx="13">
                  <c:v>0.06449</c:v>
                </c:pt>
                <c:pt idx="14">
                  <c:v>0.06522</c:v>
                </c:pt>
                <c:pt idx="15">
                  <c:v>0.06595</c:v>
                </c:pt>
                <c:pt idx="16">
                  <c:v>0.06668</c:v>
                </c:pt>
                <c:pt idx="17">
                  <c:v>0.06741</c:v>
                </c:pt>
                <c:pt idx="18">
                  <c:v>0.06814</c:v>
                </c:pt>
                <c:pt idx="19">
                  <c:v>0.06887</c:v>
                </c:pt>
                <c:pt idx="20">
                  <c:v>0.0696</c:v>
                </c:pt>
                <c:pt idx="21">
                  <c:v>0.07033</c:v>
                </c:pt>
                <c:pt idx="22">
                  <c:v>0.0710599999999999</c:v>
                </c:pt>
                <c:pt idx="23">
                  <c:v>0.0717899999999999</c:v>
                </c:pt>
                <c:pt idx="24">
                  <c:v>0.0725199999999999</c:v>
                </c:pt>
                <c:pt idx="25">
                  <c:v>0.0732499999999999</c:v>
                </c:pt>
                <c:pt idx="26">
                  <c:v>0.0739799999999999</c:v>
                </c:pt>
                <c:pt idx="27">
                  <c:v>0.0747099999999999</c:v>
                </c:pt>
                <c:pt idx="28">
                  <c:v>0.0754399999999999</c:v>
                </c:pt>
                <c:pt idx="29">
                  <c:v>0.0761699999999999</c:v>
                </c:pt>
                <c:pt idx="30">
                  <c:v>0.0768999999999999</c:v>
                </c:pt>
                <c:pt idx="31">
                  <c:v>0.0776299999999999</c:v>
                </c:pt>
                <c:pt idx="32">
                  <c:v>0.0783599999999999</c:v>
                </c:pt>
                <c:pt idx="33">
                  <c:v>0.0790899999999999</c:v>
                </c:pt>
                <c:pt idx="34">
                  <c:v>0.0798199999999999</c:v>
                </c:pt>
                <c:pt idx="35">
                  <c:v>0.0805499999999999</c:v>
                </c:pt>
                <c:pt idx="36">
                  <c:v>0.0812799999999999</c:v>
                </c:pt>
                <c:pt idx="37">
                  <c:v>0.0820099999999999</c:v>
                </c:pt>
                <c:pt idx="38">
                  <c:v>0.0827399999999999</c:v>
                </c:pt>
                <c:pt idx="39">
                  <c:v>0.0834699999999998</c:v>
                </c:pt>
                <c:pt idx="40">
                  <c:v>0.0841999999999998</c:v>
                </c:pt>
                <c:pt idx="41">
                  <c:v>0.0849299999999998</c:v>
                </c:pt>
                <c:pt idx="42">
                  <c:v>0.0856599999999998</c:v>
                </c:pt>
                <c:pt idx="43">
                  <c:v>0.0863899999999998</c:v>
                </c:pt>
                <c:pt idx="44">
                  <c:v>0.0871199999999998</c:v>
                </c:pt>
                <c:pt idx="45">
                  <c:v>0.0878499999999998</c:v>
                </c:pt>
                <c:pt idx="46">
                  <c:v>0.0885799999999998</c:v>
                </c:pt>
                <c:pt idx="47">
                  <c:v>0.0893099999999998</c:v>
                </c:pt>
                <c:pt idx="48">
                  <c:v>0.0900399999999998</c:v>
                </c:pt>
                <c:pt idx="49">
                  <c:v>0.0907699999999998</c:v>
                </c:pt>
                <c:pt idx="50">
                  <c:v>0.0914999999999998</c:v>
                </c:pt>
                <c:pt idx="51">
                  <c:v>0.0922299999999998</c:v>
                </c:pt>
                <c:pt idx="52">
                  <c:v>0.0929599999999998</c:v>
                </c:pt>
                <c:pt idx="53">
                  <c:v>0.0936899999999998</c:v>
                </c:pt>
                <c:pt idx="54">
                  <c:v>0.0944199999999998</c:v>
                </c:pt>
                <c:pt idx="55">
                  <c:v>0.0951499999999998</c:v>
                </c:pt>
                <c:pt idx="56">
                  <c:v>0.0958799999999997</c:v>
                </c:pt>
                <c:pt idx="57">
                  <c:v>0.0966099999999997</c:v>
                </c:pt>
                <c:pt idx="58">
                  <c:v>0.0973399999999997</c:v>
                </c:pt>
                <c:pt idx="59">
                  <c:v>0.0980699999999997</c:v>
                </c:pt>
                <c:pt idx="60">
                  <c:v>0.0987999999999997</c:v>
                </c:pt>
                <c:pt idx="61">
                  <c:v>0.0995299999999997</c:v>
                </c:pt>
                <c:pt idx="62">
                  <c:v>0.10026</c:v>
                </c:pt>
                <c:pt idx="63">
                  <c:v>0.10099</c:v>
                </c:pt>
                <c:pt idx="64">
                  <c:v>0.10172</c:v>
                </c:pt>
                <c:pt idx="65">
                  <c:v>0.10245</c:v>
                </c:pt>
                <c:pt idx="66">
                  <c:v>0.10318</c:v>
                </c:pt>
                <c:pt idx="67">
                  <c:v>0.10391</c:v>
                </c:pt>
                <c:pt idx="68">
                  <c:v>0.10464</c:v>
                </c:pt>
                <c:pt idx="69">
                  <c:v>0.10537</c:v>
                </c:pt>
                <c:pt idx="70">
                  <c:v>0.1061</c:v>
                </c:pt>
                <c:pt idx="71">
                  <c:v>0.10683</c:v>
                </c:pt>
                <c:pt idx="72">
                  <c:v>0.10756</c:v>
                </c:pt>
                <c:pt idx="73">
                  <c:v>0.10829</c:v>
                </c:pt>
                <c:pt idx="74">
                  <c:v>0.10902</c:v>
                </c:pt>
                <c:pt idx="75">
                  <c:v>0.10975</c:v>
                </c:pt>
                <c:pt idx="76">
                  <c:v>0.11048</c:v>
                </c:pt>
                <c:pt idx="77">
                  <c:v>0.11121</c:v>
                </c:pt>
                <c:pt idx="78">
                  <c:v>0.11194</c:v>
                </c:pt>
                <c:pt idx="79">
                  <c:v>0.11267</c:v>
                </c:pt>
                <c:pt idx="80">
                  <c:v>0.1134</c:v>
                </c:pt>
                <c:pt idx="81">
                  <c:v>0.11413</c:v>
                </c:pt>
                <c:pt idx="82">
                  <c:v>0.11486</c:v>
                </c:pt>
                <c:pt idx="83">
                  <c:v>0.11559</c:v>
                </c:pt>
                <c:pt idx="84">
                  <c:v>0.11632</c:v>
                </c:pt>
                <c:pt idx="85">
                  <c:v>0.11705</c:v>
                </c:pt>
                <c:pt idx="86">
                  <c:v>0.11778</c:v>
                </c:pt>
                <c:pt idx="87">
                  <c:v>0.11851</c:v>
                </c:pt>
                <c:pt idx="88">
                  <c:v>0.11924</c:v>
                </c:pt>
                <c:pt idx="89">
                  <c:v>0.11997</c:v>
                </c:pt>
                <c:pt idx="90">
                  <c:v>0.1207</c:v>
                </c:pt>
                <c:pt idx="91">
                  <c:v>0.12143</c:v>
                </c:pt>
                <c:pt idx="92">
                  <c:v>0.12216</c:v>
                </c:pt>
                <c:pt idx="93">
                  <c:v>0.12289</c:v>
                </c:pt>
                <c:pt idx="94">
                  <c:v>0.12362</c:v>
                </c:pt>
                <c:pt idx="95">
                  <c:v>0.12435</c:v>
                </c:pt>
                <c:pt idx="96">
                  <c:v>0.12508</c:v>
                </c:pt>
                <c:pt idx="97">
                  <c:v>0.12581</c:v>
                </c:pt>
                <c:pt idx="98">
                  <c:v>0.12654</c:v>
                </c:pt>
                <c:pt idx="99">
                  <c:v>0.12727</c:v>
                </c:pt>
                <c:pt idx="100">
                  <c:v>0.128</c:v>
                </c:pt>
              </c:numCache>
            </c:numRef>
          </c:yVal>
          <c:smooth val="0"/>
        </c:ser>
        <c:ser>
          <c:idx val="1"/>
          <c:order val="1"/>
          <c:tx>
            <c:v>CAL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'3种资产的组合'!$Q$2:$Q$3</c:f>
              <c:numCache>
                <c:formatCode>0.00%</c:formatCode>
                <c:ptCount val="2"/>
                <c:pt idx="0">
                  <c:v>0.0</c:v>
                </c:pt>
                <c:pt idx="1">
                  <c:v>0.119830081272173</c:v>
                </c:pt>
              </c:numCache>
            </c:numRef>
          </c:xVal>
          <c:yVal>
            <c:numRef>
              <c:f>'3种资产的组合'!$R$2:$R$3</c:f>
              <c:numCache>
                <c:formatCode>0.00%</c:formatCode>
                <c:ptCount val="2"/>
                <c:pt idx="0">
                  <c:v>0.032</c:v>
                </c:pt>
                <c:pt idx="1">
                  <c:v>0.117655355401383</c:v>
                </c:pt>
              </c:numCache>
            </c:numRef>
          </c:yVal>
          <c:smooth val="0"/>
        </c:ser>
        <c:ser>
          <c:idx val="2"/>
          <c:order val="2"/>
          <c:tx>
            <c:v>MAX Sharpe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'3种资产的组合'!$Q$3</c:f>
              <c:numCache>
                <c:formatCode>0.00%</c:formatCode>
                <c:ptCount val="1"/>
                <c:pt idx="0">
                  <c:v>0.119830081272173</c:v>
                </c:pt>
              </c:numCache>
            </c:numRef>
          </c:xVal>
          <c:yVal>
            <c:numRef>
              <c:f>'3种资产的组合'!$R$3</c:f>
              <c:numCache>
                <c:formatCode>0.00%</c:formatCode>
                <c:ptCount val="1"/>
                <c:pt idx="0">
                  <c:v>0.117655355401383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61104"/>
        <c:axId val="146757216"/>
      </c:scatterChart>
      <c:valAx>
        <c:axId val="14676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757216"/>
        <c:crosses val="autoZero"/>
        <c:crossBetween val="midCat"/>
      </c:valAx>
      <c:valAx>
        <c:axId val="14675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676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>
                <a:solidFill>
                  <a:schemeClr val="tx1"/>
                </a:solidFill>
              </a:rPr>
              <a:t>5</a:t>
            </a:r>
            <a:r>
              <a:rPr lang="zh-CN" altLang="en-US" sz="2400" baseline="0">
                <a:solidFill>
                  <a:schemeClr val="tx1"/>
                </a:solidFill>
              </a:rPr>
              <a:t> </a:t>
            </a:r>
            <a:r>
              <a:rPr lang="en-US" altLang="zh-CN" sz="2400" baseline="0">
                <a:solidFill>
                  <a:schemeClr val="tx1"/>
                </a:solidFill>
              </a:rPr>
              <a:t>Asserts</a:t>
            </a:r>
            <a:r>
              <a:rPr lang="zh-CN" altLang="en-US" sz="2400" baseline="0">
                <a:solidFill>
                  <a:schemeClr val="tx1"/>
                </a:solidFill>
              </a:rPr>
              <a:t> </a:t>
            </a:r>
            <a:r>
              <a:rPr lang="en-US" altLang="zh-CN" sz="2400" baseline="0">
                <a:solidFill>
                  <a:schemeClr val="tx1"/>
                </a:solidFill>
              </a:rPr>
              <a:t>Portfolios</a:t>
            </a:r>
            <a:endParaRPr lang="en-US" sz="2400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risk-return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accent1">
                    <a:alpha val="0"/>
                  </a:schemeClr>
                </a:solidFill>
              </a:ln>
              <a:effectLst/>
            </c:spPr>
          </c:marker>
          <c:xVal>
            <c:numRef>
              <c:f>'5种资产的组合'!$M$23:$M$122</c:f>
              <c:numCache>
                <c:formatCode>0.00%</c:formatCode>
                <c:ptCount val="100"/>
                <c:pt idx="0">
                  <c:v>0.108407467092234</c:v>
                </c:pt>
                <c:pt idx="1">
                  <c:v>0.106682119930064</c:v>
                </c:pt>
                <c:pt idx="2">
                  <c:v>0.105034506352154</c:v>
                </c:pt>
                <c:pt idx="3">
                  <c:v>0.10346772718937</c:v>
                </c:pt>
                <c:pt idx="4">
                  <c:v>0.101953265006557</c:v>
                </c:pt>
                <c:pt idx="5">
                  <c:v>0.100475488418253</c:v>
                </c:pt>
                <c:pt idx="6">
                  <c:v>0.0990355006169551</c:v>
                </c:pt>
                <c:pt idx="7">
                  <c:v>0.0976352269771456</c:v>
                </c:pt>
                <c:pt idx="8">
                  <c:v>0.0962769918959068</c:v>
                </c:pt>
                <c:pt idx="9">
                  <c:v>0.0949616614003434</c:v>
                </c:pt>
                <c:pt idx="10">
                  <c:v>0.0936913984421787</c:v>
                </c:pt>
                <c:pt idx="11">
                  <c:v>0.0924681190591205</c:v>
                </c:pt>
                <c:pt idx="12">
                  <c:v>0.0912935321087601</c:v>
                </c:pt>
                <c:pt idx="13">
                  <c:v>0.0901700010814374</c:v>
                </c:pt>
                <c:pt idx="14">
                  <c:v>0.0890989736595982</c:v>
                </c:pt>
                <c:pt idx="15">
                  <c:v>0.0880825336352957</c:v>
                </c:pt>
                <c:pt idx="16">
                  <c:v>0.0871225984368871</c:v>
                </c:pt>
                <c:pt idx="17">
                  <c:v>0.0862210484593354</c:v>
                </c:pt>
                <c:pt idx="18">
                  <c:v>0.0853795991130648</c:v>
                </c:pt>
                <c:pt idx="19">
                  <c:v>0.0846001621267038</c:v>
                </c:pt>
                <c:pt idx="20">
                  <c:v>0.0838623124098592</c:v>
                </c:pt>
                <c:pt idx="21">
                  <c:v>0.0831547527790649</c:v>
                </c:pt>
                <c:pt idx="22">
                  <c:v>0.0824761670524769</c:v>
                </c:pt>
                <c:pt idx="23">
                  <c:v>0.0818274249169884</c:v>
                </c:pt>
                <c:pt idx="24">
                  <c:v>0.0812120592851226</c:v>
                </c:pt>
                <c:pt idx="25">
                  <c:v>0.0806279963354621</c:v>
                </c:pt>
                <c:pt idx="26">
                  <c:v>0.0800758382195468</c:v>
                </c:pt>
                <c:pt idx="27">
                  <c:v>0.0795586207071057</c:v>
                </c:pt>
                <c:pt idx="28">
                  <c:v>0.0790761197188928</c:v>
                </c:pt>
                <c:pt idx="29">
                  <c:v>0.0786272056200477</c:v>
                </c:pt>
                <c:pt idx="30">
                  <c:v>0.0782144751943469</c:v>
                </c:pt>
                <c:pt idx="31">
                  <c:v>0.0778378279641517</c:v>
                </c:pt>
                <c:pt idx="32">
                  <c:v>0.0774977900353729</c:v>
                </c:pt>
                <c:pt idx="33">
                  <c:v>0.0771948451938108</c:v>
                </c:pt>
                <c:pt idx="34">
                  <c:v>0.0769297838550255</c:v>
                </c:pt>
                <c:pt idx="35">
                  <c:v>0.0767020008792572</c:v>
                </c:pt>
                <c:pt idx="36">
                  <c:v>0.0765127056772632</c:v>
                </c:pt>
                <c:pt idx="37">
                  <c:v>0.0763620157874158</c:v>
                </c:pt>
                <c:pt idx="38">
                  <c:v>0.0762500707437302</c:v>
                </c:pt>
                <c:pt idx="39">
                  <c:v>0.076177123218636</c:v>
                </c:pt>
                <c:pt idx="40">
                  <c:v>0.0761432991314447</c:v>
                </c:pt>
                <c:pt idx="41">
                  <c:v>0.0761483221120539</c:v>
                </c:pt>
                <c:pt idx="42">
                  <c:v>0.0761926810818819</c:v>
                </c:pt>
                <c:pt idx="43">
                  <c:v>0.0762760064127027</c:v>
                </c:pt>
                <c:pt idx="44">
                  <c:v>0.0763983009785805</c:v>
                </c:pt>
                <c:pt idx="45">
                  <c:v>0.076559153699004</c:v>
                </c:pt>
                <c:pt idx="46">
                  <c:v>0.0767562347899461</c:v>
                </c:pt>
                <c:pt idx="47">
                  <c:v>0.0769804805910823</c:v>
                </c:pt>
                <c:pt idx="48">
                  <c:v>0.0772308437286072</c:v>
                </c:pt>
                <c:pt idx="49">
                  <c:v>0.0775066546750766</c:v>
                </c:pt>
                <c:pt idx="50">
                  <c:v>0.0778084275106615</c:v>
                </c:pt>
                <c:pt idx="51">
                  <c:v>0.0781359747858219</c:v>
                </c:pt>
                <c:pt idx="52">
                  <c:v>0.0784880454559679</c:v>
                </c:pt>
                <c:pt idx="53">
                  <c:v>0.0788647543370674</c:v>
                </c:pt>
                <c:pt idx="54">
                  <c:v>0.0792651601503711</c:v>
                </c:pt>
                <c:pt idx="55">
                  <c:v>0.0796906662733061</c:v>
                </c:pt>
                <c:pt idx="56">
                  <c:v>0.0801384649524682</c:v>
                </c:pt>
                <c:pt idx="57">
                  <c:v>0.0806100350492795</c:v>
                </c:pt>
                <c:pt idx="58">
                  <c:v>0.0811043488953161</c:v>
                </c:pt>
                <c:pt idx="59">
                  <c:v>0.0816209932689024</c:v>
                </c:pt>
                <c:pt idx="60">
                  <c:v>0.0821595469075287</c:v>
                </c:pt>
                <c:pt idx="61">
                  <c:v>0.0827195818853024</c:v>
                </c:pt>
                <c:pt idx="62">
                  <c:v>0.0833015119943402</c:v>
                </c:pt>
                <c:pt idx="63">
                  <c:v>0.0839032360603529</c:v>
                </c:pt>
                <c:pt idx="64">
                  <c:v>0.0845251298168956</c:v>
                </c:pt>
                <c:pt idx="65">
                  <c:v>0.0851667500935605</c:v>
                </c:pt>
                <c:pt idx="66">
                  <c:v>0.0858276539177025</c:v>
                </c:pt>
                <c:pt idx="67">
                  <c:v>0.0865074067133</c:v>
                </c:pt>
                <c:pt idx="68">
                  <c:v>0.0872055634775408</c:v>
                </c:pt>
                <c:pt idx="69">
                  <c:v>0.0879216817622761</c:v>
                </c:pt>
                <c:pt idx="70">
                  <c:v>0.0886553299330648</c:v>
                </c:pt>
                <c:pt idx="71">
                  <c:v>0.0894060763138883</c:v>
                </c:pt>
                <c:pt idx="72">
                  <c:v>0.0901734919389045</c:v>
                </c:pt>
                <c:pt idx="73">
                  <c:v>0.0909571483143617</c:v>
                </c:pt>
                <c:pt idx="74">
                  <c:v>0.0917566453594364</c:v>
                </c:pt>
                <c:pt idx="75">
                  <c:v>0.0925727396444953</c:v>
                </c:pt>
                <c:pt idx="76">
                  <c:v>0.0934015024720291</c:v>
                </c:pt>
                <c:pt idx="77">
                  <c:v>0.0942460621050578</c:v>
                </c:pt>
                <c:pt idx="78">
                  <c:v>0.0951048539979392</c:v>
                </c:pt>
                <c:pt idx="79">
                  <c:v>0.0959774961072041</c:v>
                </c:pt>
                <c:pt idx="80">
                  <c:v>0.09686488945119</c:v>
                </c:pt>
                <c:pt idx="81">
                  <c:v>0.0977628415566355</c:v>
                </c:pt>
                <c:pt idx="82">
                  <c:v>0.0986748200627093</c:v>
                </c:pt>
                <c:pt idx="83">
                  <c:v>0.0995991993590771</c:v>
                </c:pt>
                <c:pt idx="84">
                  <c:v>0.100536983621563</c:v>
                </c:pt>
                <c:pt idx="85">
                  <c:v>0.101485163083117</c:v>
                </c:pt>
                <c:pt idx="86">
                  <c:v>0.102443362639727</c:v>
                </c:pt>
                <c:pt idx="87">
                  <c:v>0.10341400698656</c:v>
                </c:pt>
                <c:pt idx="88">
                  <c:v>0.10439683384635</c:v>
                </c:pt>
                <c:pt idx="89">
                  <c:v>0.105387313493253</c:v>
                </c:pt>
                <c:pt idx="90">
                  <c:v>0.106390399272603</c:v>
                </c:pt>
                <c:pt idx="91">
                  <c:v>0.107434661596168</c:v>
                </c:pt>
                <c:pt idx="92">
                  <c:v>0.108532937726524</c:v>
                </c:pt>
                <c:pt idx="93">
                  <c:v>0.109683605133966</c:v>
                </c:pt>
                <c:pt idx="94">
                  <c:v>0.110949633576105</c:v>
                </c:pt>
                <c:pt idx="95">
                  <c:v>0.112491584445807</c:v>
                </c:pt>
                <c:pt idx="96">
                  <c:v>0.114313822925434</c:v>
                </c:pt>
                <c:pt idx="97">
                  <c:v>0.116401278855125</c:v>
                </c:pt>
                <c:pt idx="98">
                  <c:v>0.118739965441178</c:v>
                </c:pt>
                <c:pt idx="99">
                  <c:v>0.121315354071188</c:v>
                </c:pt>
              </c:numCache>
            </c:numRef>
          </c:xVal>
          <c:yVal>
            <c:numRef>
              <c:f>'5种资产的组合'!$N$23:$N$122</c:f>
              <c:numCache>
                <c:formatCode>0.00%</c:formatCode>
                <c:ptCount val="100"/>
                <c:pt idx="0">
                  <c:v>0.055</c:v>
                </c:pt>
                <c:pt idx="1">
                  <c:v>0.0557</c:v>
                </c:pt>
                <c:pt idx="2">
                  <c:v>0.0564</c:v>
                </c:pt>
                <c:pt idx="3">
                  <c:v>0.0571</c:v>
                </c:pt>
                <c:pt idx="4">
                  <c:v>0.0578</c:v>
                </c:pt>
                <c:pt idx="5">
                  <c:v>0.0585</c:v>
                </c:pt>
                <c:pt idx="6">
                  <c:v>0.0592</c:v>
                </c:pt>
                <c:pt idx="7">
                  <c:v>0.0599</c:v>
                </c:pt>
                <c:pt idx="8">
                  <c:v>0.0606</c:v>
                </c:pt>
                <c:pt idx="9">
                  <c:v>0.0613</c:v>
                </c:pt>
                <c:pt idx="10">
                  <c:v>0.062</c:v>
                </c:pt>
                <c:pt idx="11">
                  <c:v>0.0627</c:v>
                </c:pt>
                <c:pt idx="12">
                  <c:v>0.0634</c:v>
                </c:pt>
                <c:pt idx="13">
                  <c:v>0.0641</c:v>
                </c:pt>
                <c:pt idx="14">
                  <c:v>0.0648</c:v>
                </c:pt>
                <c:pt idx="15">
                  <c:v>0.0655</c:v>
                </c:pt>
                <c:pt idx="16">
                  <c:v>0.0662</c:v>
                </c:pt>
                <c:pt idx="17">
                  <c:v>0.0669</c:v>
                </c:pt>
                <c:pt idx="18">
                  <c:v>0.0676</c:v>
                </c:pt>
                <c:pt idx="19">
                  <c:v>0.0683</c:v>
                </c:pt>
                <c:pt idx="20">
                  <c:v>0.069</c:v>
                </c:pt>
                <c:pt idx="21">
                  <c:v>0.0697</c:v>
                </c:pt>
                <c:pt idx="22">
                  <c:v>0.0704000000000001</c:v>
                </c:pt>
                <c:pt idx="23">
                  <c:v>0.0711000000000001</c:v>
                </c:pt>
                <c:pt idx="24">
                  <c:v>0.0718000000000001</c:v>
                </c:pt>
                <c:pt idx="25">
                  <c:v>0.0725000000000001</c:v>
                </c:pt>
                <c:pt idx="26">
                  <c:v>0.0732000000000001</c:v>
                </c:pt>
                <c:pt idx="27">
                  <c:v>0.0739000000000001</c:v>
                </c:pt>
                <c:pt idx="28">
                  <c:v>0.0746000000000001</c:v>
                </c:pt>
                <c:pt idx="29">
                  <c:v>0.0753000000000001</c:v>
                </c:pt>
                <c:pt idx="30">
                  <c:v>0.0760000000000001</c:v>
                </c:pt>
                <c:pt idx="31">
                  <c:v>0.0767000000000001</c:v>
                </c:pt>
                <c:pt idx="32">
                  <c:v>0.0774000000000001</c:v>
                </c:pt>
                <c:pt idx="33">
                  <c:v>0.0781000000000001</c:v>
                </c:pt>
                <c:pt idx="34">
                  <c:v>0.0788000000000001</c:v>
                </c:pt>
                <c:pt idx="35">
                  <c:v>0.0795000000000001</c:v>
                </c:pt>
                <c:pt idx="36">
                  <c:v>0.0802000000000001</c:v>
                </c:pt>
                <c:pt idx="37">
                  <c:v>0.0809000000000001</c:v>
                </c:pt>
                <c:pt idx="38">
                  <c:v>0.0816000000000001</c:v>
                </c:pt>
                <c:pt idx="39">
                  <c:v>0.0823000000000001</c:v>
                </c:pt>
                <c:pt idx="40">
                  <c:v>0.0830000000000002</c:v>
                </c:pt>
                <c:pt idx="41">
                  <c:v>0.0837000000000002</c:v>
                </c:pt>
                <c:pt idx="42">
                  <c:v>0.0844000000000002</c:v>
                </c:pt>
                <c:pt idx="43">
                  <c:v>0.0851000000000002</c:v>
                </c:pt>
                <c:pt idx="44">
                  <c:v>0.0858000000000002</c:v>
                </c:pt>
                <c:pt idx="45">
                  <c:v>0.0865000000000002</c:v>
                </c:pt>
                <c:pt idx="46">
                  <c:v>0.0872000000000002</c:v>
                </c:pt>
                <c:pt idx="47">
                  <c:v>0.0879000000000002</c:v>
                </c:pt>
                <c:pt idx="48">
                  <c:v>0.0886000000000002</c:v>
                </c:pt>
                <c:pt idx="49">
                  <c:v>0.0893000000000002</c:v>
                </c:pt>
                <c:pt idx="50">
                  <c:v>0.0900000000000002</c:v>
                </c:pt>
                <c:pt idx="51">
                  <c:v>0.0907000000000002</c:v>
                </c:pt>
                <c:pt idx="52">
                  <c:v>0.0914000000000002</c:v>
                </c:pt>
                <c:pt idx="53">
                  <c:v>0.0921000000000002</c:v>
                </c:pt>
                <c:pt idx="54">
                  <c:v>0.0928000000000002</c:v>
                </c:pt>
                <c:pt idx="55">
                  <c:v>0.0935000000000002</c:v>
                </c:pt>
                <c:pt idx="56">
                  <c:v>0.0942000000000002</c:v>
                </c:pt>
                <c:pt idx="57">
                  <c:v>0.0949000000000003</c:v>
                </c:pt>
                <c:pt idx="58">
                  <c:v>0.0956000000000003</c:v>
                </c:pt>
                <c:pt idx="59">
                  <c:v>0.0963000000000003</c:v>
                </c:pt>
                <c:pt idx="60">
                  <c:v>0.0970000000000003</c:v>
                </c:pt>
                <c:pt idx="61">
                  <c:v>0.0977000000000003</c:v>
                </c:pt>
                <c:pt idx="62">
                  <c:v>0.0984000000000003</c:v>
                </c:pt>
                <c:pt idx="63">
                  <c:v>0.0991000000000003</c:v>
                </c:pt>
                <c:pt idx="64">
                  <c:v>0.0998000000000003</c:v>
                </c:pt>
                <c:pt idx="65">
                  <c:v>0.1005</c:v>
                </c:pt>
                <c:pt idx="66">
                  <c:v>0.1012</c:v>
                </c:pt>
                <c:pt idx="67">
                  <c:v>0.1019</c:v>
                </c:pt>
                <c:pt idx="68">
                  <c:v>0.1026</c:v>
                </c:pt>
                <c:pt idx="69">
                  <c:v>0.1033</c:v>
                </c:pt>
                <c:pt idx="70">
                  <c:v>0.104</c:v>
                </c:pt>
                <c:pt idx="71">
                  <c:v>0.1047</c:v>
                </c:pt>
                <c:pt idx="72">
                  <c:v>0.1054</c:v>
                </c:pt>
                <c:pt idx="73">
                  <c:v>0.1061</c:v>
                </c:pt>
                <c:pt idx="74">
                  <c:v>0.1068</c:v>
                </c:pt>
                <c:pt idx="75">
                  <c:v>0.1075</c:v>
                </c:pt>
                <c:pt idx="76">
                  <c:v>0.1082</c:v>
                </c:pt>
                <c:pt idx="77">
                  <c:v>0.1089</c:v>
                </c:pt>
                <c:pt idx="78">
                  <c:v>0.1096</c:v>
                </c:pt>
                <c:pt idx="79">
                  <c:v>0.1103</c:v>
                </c:pt>
                <c:pt idx="80">
                  <c:v>0.111</c:v>
                </c:pt>
                <c:pt idx="81">
                  <c:v>0.1117</c:v>
                </c:pt>
                <c:pt idx="82">
                  <c:v>0.1124</c:v>
                </c:pt>
                <c:pt idx="83">
                  <c:v>0.1131</c:v>
                </c:pt>
                <c:pt idx="84">
                  <c:v>0.1138</c:v>
                </c:pt>
                <c:pt idx="85">
                  <c:v>0.1145</c:v>
                </c:pt>
                <c:pt idx="86">
                  <c:v>0.1152</c:v>
                </c:pt>
                <c:pt idx="87">
                  <c:v>0.1159</c:v>
                </c:pt>
                <c:pt idx="88">
                  <c:v>0.1166</c:v>
                </c:pt>
                <c:pt idx="89">
                  <c:v>0.1173</c:v>
                </c:pt>
                <c:pt idx="90">
                  <c:v>0.118</c:v>
                </c:pt>
                <c:pt idx="91">
                  <c:v>0.1187</c:v>
                </c:pt>
                <c:pt idx="92">
                  <c:v>0.1194</c:v>
                </c:pt>
                <c:pt idx="93">
                  <c:v>0.1201</c:v>
                </c:pt>
                <c:pt idx="94">
                  <c:v>0.1208</c:v>
                </c:pt>
                <c:pt idx="95">
                  <c:v>0.121500000000001</c:v>
                </c:pt>
                <c:pt idx="96">
                  <c:v>0.122200000000001</c:v>
                </c:pt>
                <c:pt idx="97">
                  <c:v>0.122900000000001</c:v>
                </c:pt>
                <c:pt idx="98">
                  <c:v>0.123600000000001</c:v>
                </c:pt>
                <c:pt idx="99">
                  <c:v>0.124300000000001</c:v>
                </c:pt>
              </c:numCache>
            </c:numRef>
          </c:yVal>
          <c:smooth val="1"/>
        </c:ser>
        <c:ser>
          <c:idx val="1"/>
          <c:order val="1"/>
          <c:tx>
            <c:v>CAL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'5种资产的组合'!$P$4:$P$5</c:f>
              <c:numCache>
                <c:formatCode>0.00%</c:formatCode>
                <c:ptCount val="2"/>
                <c:pt idx="0">
                  <c:v>0.0</c:v>
                </c:pt>
                <c:pt idx="1">
                  <c:v>0.0946161690861588</c:v>
                </c:pt>
              </c:numCache>
            </c:numRef>
          </c:xVal>
          <c:yVal>
            <c:numRef>
              <c:f>'5种资产的组合'!$Q$4:$Q$5</c:f>
              <c:numCache>
                <c:formatCode>0.00%</c:formatCode>
                <c:ptCount val="2"/>
                <c:pt idx="0">
                  <c:v>0.032</c:v>
                </c:pt>
                <c:pt idx="1">
                  <c:v>0.109203078972182</c:v>
                </c:pt>
              </c:numCache>
            </c:numRef>
          </c:yVal>
          <c:smooth val="0"/>
        </c:ser>
        <c:ser>
          <c:idx val="2"/>
          <c:order val="2"/>
          <c:tx>
            <c:v>MAX Sharpe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'5种资产的组合'!$P$5</c:f>
              <c:numCache>
                <c:formatCode>0.00%</c:formatCode>
                <c:ptCount val="1"/>
                <c:pt idx="0">
                  <c:v>0.0946161690861588</c:v>
                </c:pt>
              </c:numCache>
            </c:numRef>
          </c:xVal>
          <c:yVal>
            <c:numRef>
              <c:f>'5种资产的组合'!$Q$5</c:f>
              <c:numCache>
                <c:formatCode>0.00%</c:formatCode>
                <c:ptCount val="1"/>
                <c:pt idx="0">
                  <c:v>0.109203078972182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59168"/>
        <c:axId val="62860528"/>
      </c:scatterChart>
      <c:valAx>
        <c:axId val="62859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860528"/>
        <c:crosses val="autoZero"/>
        <c:crossBetween val="midCat"/>
      </c:valAx>
      <c:valAx>
        <c:axId val="6286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859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Different</a:t>
            </a:r>
            <a:r>
              <a:rPr lang="zh-CN" altLang="en-US" baseline="0"/>
              <a:t> </a:t>
            </a:r>
            <a:r>
              <a:rPr lang="en-US" altLang="zh-CN" baseline="0"/>
              <a:t>Asserts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4"/>
          <c:tx>
            <c:strRef>
              <c:f>各种资产对比!$N$3</c:f>
              <c:strCache>
                <c:ptCount val="1"/>
                <c:pt idx="0">
                  <c:v>US Equity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各种资产对比!$N$5</c:f>
              <c:numCache>
                <c:formatCode>0.00%</c:formatCode>
                <c:ptCount val="1"/>
                <c:pt idx="0">
                  <c:v>0.1521</c:v>
                </c:pt>
              </c:numCache>
            </c:numRef>
          </c:xVal>
          <c:yVal>
            <c:numRef>
              <c:f>各种资产对比!$N$4</c:f>
              <c:numCache>
                <c:formatCode>0.00%</c:formatCode>
                <c:ptCount val="1"/>
                <c:pt idx="0">
                  <c:v>0.1294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各种资产对比!$O$3</c:f>
              <c:strCache>
                <c:ptCount val="1"/>
                <c:pt idx="0">
                  <c:v>Foreign Equity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6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各种资产对比!$O$5</c:f>
              <c:numCache>
                <c:formatCode>0.00%</c:formatCode>
                <c:ptCount val="1"/>
                <c:pt idx="0">
                  <c:v>0.1444</c:v>
                </c:pt>
              </c:numCache>
            </c:numRef>
          </c:xVal>
          <c:yVal>
            <c:numRef>
              <c:f>各种资产对比!$O$4</c:f>
              <c:numCache>
                <c:formatCode>0.00%</c:formatCode>
                <c:ptCount val="1"/>
                <c:pt idx="0">
                  <c:v>0.1242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各种资产对比!$P$3</c:f>
              <c:strCache>
                <c:ptCount val="1"/>
                <c:pt idx="0">
                  <c:v>Bonds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各种资产对比!$P$5</c:f>
              <c:numCache>
                <c:formatCode>0.00%</c:formatCode>
                <c:ptCount val="1"/>
                <c:pt idx="0">
                  <c:v>0.111</c:v>
                </c:pt>
              </c:numCache>
            </c:numRef>
          </c:xVal>
          <c:yVal>
            <c:numRef>
              <c:f>各种资产对比!$P$4</c:f>
              <c:numCache>
                <c:formatCode>0.00%</c:formatCode>
                <c:ptCount val="1"/>
                <c:pt idx="0">
                  <c:v>0.054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各种资产对比!$Q$3</c:f>
              <c:strCache>
                <c:ptCount val="1"/>
                <c:pt idx="0">
                  <c:v>REITs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各种资产对比!$Q$5</c:f>
              <c:numCache>
                <c:formatCode>0.00%</c:formatCode>
                <c:ptCount val="1"/>
                <c:pt idx="0">
                  <c:v>0.1354</c:v>
                </c:pt>
              </c:numCache>
            </c:numRef>
          </c:xVal>
          <c:yVal>
            <c:numRef>
              <c:f>各种资产对比!$Q$4</c:f>
              <c:numCache>
                <c:formatCode>0.00%</c:formatCode>
                <c:ptCount val="1"/>
                <c:pt idx="0">
                  <c:v>0.0944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各种资产对比!$R$3</c:f>
              <c:strCache>
                <c:ptCount val="1"/>
                <c:pt idx="0">
                  <c:v>Commodities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各种资产对比!$R$5</c:f>
              <c:numCache>
                <c:formatCode>0.00%</c:formatCode>
                <c:ptCount val="1"/>
                <c:pt idx="0">
                  <c:v>0.1843</c:v>
                </c:pt>
              </c:numCache>
            </c:numRef>
          </c:xVal>
          <c:yVal>
            <c:numRef>
              <c:f>各种资产对比!$R$4</c:f>
              <c:numCache>
                <c:formatCode>0.00%</c:formatCode>
                <c:ptCount val="1"/>
                <c:pt idx="0">
                  <c:v>0.1005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90480"/>
        <c:axId val="62892528"/>
      </c:scatterChart>
      <c:scatterChart>
        <c:scatterStyle val="smoothMarker"/>
        <c:varyColors val="0"/>
        <c:ser>
          <c:idx val="0"/>
          <c:order val="0"/>
          <c:tx>
            <c:v>5 Asserts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各种资产对比!$A$5:$A$104</c:f>
              <c:numCache>
                <c:formatCode>0.00%</c:formatCode>
                <c:ptCount val="100"/>
                <c:pt idx="0">
                  <c:v>0.108407467092234</c:v>
                </c:pt>
                <c:pt idx="1">
                  <c:v>0.106682119930064</c:v>
                </c:pt>
                <c:pt idx="2">
                  <c:v>0.105034506352154</c:v>
                </c:pt>
                <c:pt idx="3">
                  <c:v>0.10346772718937</c:v>
                </c:pt>
                <c:pt idx="4">
                  <c:v>0.101953265006557</c:v>
                </c:pt>
                <c:pt idx="5">
                  <c:v>0.100475488418253</c:v>
                </c:pt>
                <c:pt idx="6">
                  <c:v>0.0990355006169551</c:v>
                </c:pt>
                <c:pt idx="7">
                  <c:v>0.0976352269771456</c:v>
                </c:pt>
                <c:pt idx="8">
                  <c:v>0.0962769918959068</c:v>
                </c:pt>
                <c:pt idx="9">
                  <c:v>0.0949616614003434</c:v>
                </c:pt>
                <c:pt idx="10">
                  <c:v>0.0936913984421787</c:v>
                </c:pt>
                <c:pt idx="11">
                  <c:v>0.0924681190591205</c:v>
                </c:pt>
                <c:pt idx="12">
                  <c:v>0.0912935321087601</c:v>
                </c:pt>
                <c:pt idx="13">
                  <c:v>0.0901700010814374</c:v>
                </c:pt>
                <c:pt idx="14">
                  <c:v>0.0890989736595982</c:v>
                </c:pt>
                <c:pt idx="15">
                  <c:v>0.0880825336352957</c:v>
                </c:pt>
                <c:pt idx="16">
                  <c:v>0.0871225984368871</c:v>
                </c:pt>
                <c:pt idx="17">
                  <c:v>0.0862210484593354</c:v>
                </c:pt>
                <c:pt idx="18">
                  <c:v>0.0853795991130648</c:v>
                </c:pt>
                <c:pt idx="19">
                  <c:v>0.0846001621267038</c:v>
                </c:pt>
                <c:pt idx="20">
                  <c:v>0.0838623124098592</c:v>
                </c:pt>
                <c:pt idx="21">
                  <c:v>0.0831547527790649</c:v>
                </c:pt>
                <c:pt idx="22">
                  <c:v>0.0824761670524769</c:v>
                </c:pt>
                <c:pt idx="23">
                  <c:v>0.0818274249169884</c:v>
                </c:pt>
                <c:pt idx="24">
                  <c:v>0.0812120592851226</c:v>
                </c:pt>
                <c:pt idx="25">
                  <c:v>0.0806279963354621</c:v>
                </c:pt>
                <c:pt idx="26">
                  <c:v>0.0800758382195468</c:v>
                </c:pt>
                <c:pt idx="27">
                  <c:v>0.0795586207071057</c:v>
                </c:pt>
                <c:pt idx="28">
                  <c:v>0.0790761197188928</c:v>
                </c:pt>
                <c:pt idx="29">
                  <c:v>0.0786272056200477</c:v>
                </c:pt>
                <c:pt idx="30">
                  <c:v>0.0782144751943469</c:v>
                </c:pt>
                <c:pt idx="31">
                  <c:v>0.0778378279641517</c:v>
                </c:pt>
                <c:pt idx="32">
                  <c:v>0.0774977900353729</c:v>
                </c:pt>
                <c:pt idx="33">
                  <c:v>0.0771948451938108</c:v>
                </c:pt>
                <c:pt idx="34">
                  <c:v>0.0769297838550255</c:v>
                </c:pt>
                <c:pt idx="35">
                  <c:v>0.0767020008792572</c:v>
                </c:pt>
                <c:pt idx="36">
                  <c:v>0.0765127056772632</c:v>
                </c:pt>
                <c:pt idx="37">
                  <c:v>0.0763620157874158</c:v>
                </c:pt>
                <c:pt idx="38">
                  <c:v>0.0762500707437302</c:v>
                </c:pt>
                <c:pt idx="39">
                  <c:v>0.076177123218636</c:v>
                </c:pt>
                <c:pt idx="40">
                  <c:v>0.0761432991314447</c:v>
                </c:pt>
                <c:pt idx="41">
                  <c:v>0.0761483221120539</c:v>
                </c:pt>
                <c:pt idx="42">
                  <c:v>0.0761926810818819</c:v>
                </c:pt>
                <c:pt idx="43">
                  <c:v>0.0762760064127027</c:v>
                </c:pt>
                <c:pt idx="44">
                  <c:v>0.0763983009785805</c:v>
                </c:pt>
                <c:pt idx="45">
                  <c:v>0.076559153699004</c:v>
                </c:pt>
                <c:pt idx="46">
                  <c:v>0.0767562347899461</c:v>
                </c:pt>
                <c:pt idx="47">
                  <c:v>0.0769804805910823</c:v>
                </c:pt>
                <c:pt idx="48">
                  <c:v>0.0772308437286072</c:v>
                </c:pt>
                <c:pt idx="49">
                  <c:v>0.0775066546750766</c:v>
                </c:pt>
                <c:pt idx="50">
                  <c:v>0.0778084275106615</c:v>
                </c:pt>
                <c:pt idx="51">
                  <c:v>0.0781359747858219</c:v>
                </c:pt>
                <c:pt idx="52">
                  <c:v>0.0784880454559679</c:v>
                </c:pt>
                <c:pt idx="53">
                  <c:v>0.0788647543370674</c:v>
                </c:pt>
                <c:pt idx="54">
                  <c:v>0.0792651601503711</c:v>
                </c:pt>
                <c:pt idx="55">
                  <c:v>0.0796906662733061</c:v>
                </c:pt>
                <c:pt idx="56">
                  <c:v>0.0801384649524682</c:v>
                </c:pt>
                <c:pt idx="57">
                  <c:v>0.0806100350492795</c:v>
                </c:pt>
                <c:pt idx="58">
                  <c:v>0.0811043488953161</c:v>
                </c:pt>
                <c:pt idx="59">
                  <c:v>0.0816209932689024</c:v>
                </c:pt>
                <c:pt idx="60">
                  <c:v>0.0821595469075287</c:v>
                </c:pt>
                <c:pt idx="61">
                  <c:v>0.0827195818853024</c:v>
                </c:pt>
                <c:pt idx="62">
                  <c:v>0.0833015119943402</c:v>
                </c:pt>
                <c:pt idx="63">
                  <c:v>0.0839032360603529</c:v>
                </c:pt>
                <c:pt idx="64">
                  <c:v>0.0845251298168956</c:v>
                </c:pt>
                <c:pt idx="65">
                  <c:v>0.0851667500935605</c:v>
                </c:pt>
                <c:pt idx="66">
                  <c:v>0.0858276539177025</c:v>
                </c:pt>
                <c:pt idx="67">
                  <c:v>0.0865074067133</c:v>
                </c:pt>
                <c:pt idx="68">
                  <c:v>0.0872055634775408</c:v>
                </c:pt>
                <c:pt idx="69">
                  <c:v>0.0879216817622761</c:v>
                </c:pt>
                <c:pt idx="70">
                  <c:v>0.0886553299330648</c:v>
                </c:pt>
                <c:pt idx="71">
                  <c:v>0.0894060763138883</c:v>
                </c:pt>
                <c:pt idx="72">
                  <c:v>0.0901734919389045</c:v>
                </c:pt>
                <c:pt idx="73">
                  <c:v>0.0909571483143617</c:v>
                </c:pt>
                <c:pt idx="74">
                  <c:v>0.0917566453594364</c:v>
                </c:pt>
                <c:pt idx="75">
                  <c:v>0.0925727396444953</c:v>
                </c:pt>
                <c:pt idx="76">
                  <c:v>0.0934015024720291</c:v>
                </c:pt>
                <c:pt idx="77">
                  <c:v>0.0942460621050578</c:v>
                </c:pt>
                <c:pt idx="78">
                  <c:v>0.0951048539979392</c:v>
                </c:pt>
                <c:pt idx="79">
                  <c:v>0.0959774961072041</c:v>
                </c:pt>
                <c:pt idx="80">
                  <c:v>0.09686488945119</c:v>
                </c:pt>
                <c:pt idx="81">
                  <c:v>0.0977628415566355</c:v>
                </c:pt>
                <c:pt idx="82">
                  <c:v>0.0986748200627093</c:v>
                </c:pt>
                <c:pt idx="83">
                  <c:v>0.0995991993590771</c:v>
                </c:pt>
                <c:pt idx="84">
                  <c:v>0.100536983621563</c:v>
                </c:pt>
                <c:pt idx="85">
                  <c:v>0.101485163083117</c:v>
                </c:pt>
                <c:pt idx="86">
                  <c:v>0.102443362639727</c:v>
                </c:pt>
                <c:pt idx="87">
                  <c:v>0.10341400698656</c:v>
                </c:pt>
                <c:pt idx="88">
                  <c:v>0.10439683384635</c:v>
                </c:pt>
                <c:pt idx="89">
                  <c:v>0.105387313493253</c:v>
                </c:pt>
                <c:pt idx="90">
                  <c:v>0.106390399272603</c:v>
                </c:pt>
                <c:pt idx="91">
                  <c:v>0.107434661596168</c:v>
                </c:pt>
                <c:pt idx="92">
                  <c:v>0.108532937726524</c:v>
                </c:pt>
                <c:pt idx="93">
                  <c:v>0.109683605133966</c:v>
                </c:pt>
                <c:pt idx="94">
                  <c:v>0.110949633576105</c:v>
                </c:pt>
                <c:pt idx="95">
                  <c:v>0.112491584445807</c:v>
                </c:pt>
                <c:pt idx="96">
                  <c:v>0.114313822925434</c:v>
                </c:pt>
                <c:pt idx="97">
                  <c:v>0.116401278855125</c:v>
                </c:pt>
                <c:pt idx="98">
                  <c:v>0.118739965441178</c:v>
                </c:pt>
                <c:pt idx="99">
                  <c:v>0.121315354071188</c:v>
                </c:pt>
              </c:numCache>
            </c:numRef>
          </c:xVal>
          <c:yVal>
            <c:numRef>
              <c:f>各种资产对比!$B$5:$B$104</c:f>
              <c:numCache>
                <c:formatCode>0.00%</c:formatCode>
                <c:ptCount val="100"/>
                <c:pt idx="0">
                  <c:v>0.055</c:v>
                </c:pt>
                <c:pt idx="1">
                  <c:v>0.0557</c:v>
                </c:pt>
                <c:pt idx="2">
                  <c:v>0.0564</c:v>
                </c:pt>
                <c:pt idx="3">
                  <c:v>0.0571</c:v>
                </c:pt>
                <c:pt idx="4">
                  <c:v>0.0578</c:v>
                </c:pt>
                <c:pt idx="5">
                  <c:v>0.0585</c:v>
                </c:pt>
                <c:pt idx="6">
                  <c:v>0.0592</c:v>
                </c:pt>
                <c:pt idx="7">
                  <c:v>0.0599</c:v>
                </c:pt>
                <c:pt idx="8">
                  <c:v>0.0606</c:v>
                </c:pt>
                <c:pt idx="9">
                  <c:v>0.0613</c:v>
                </c:pt>
                <c:pt idx="10">
                  <c:v>0.062</c:v>
                </c:pt>
                <c:pt idx="11">
                  <c:v>0.0627</c:v>
                </c:pt>
                <c:pt idx="12">
                  <c:v>0.0634</c:v>
                </c:pt>
                <c:pt idx="13">
                  <c:v>0.0641</c:v>
                </c:pt>
                <c:pt idx="14">
                  <c:v>0.0648</c:v>
                </c:pt>
                <c:pt idx="15">
                  <c:v>0.0655</c:v>
                </c:pt>
                <c:pt idx="16">
                  <c:v>0.0662</c:v>
                </c:pt>
                <c:pt idx="17">
                  <c:v>0.0669</c:v>
                </c:pt>
                <c:pt idx="18">
                  <c:v>0.0676</c:v>
                </c:pt>
                <c:pt idx="19">
                  <c:v>0.0683</c:v>
                </c:pt>
                <c:pt idx="20">
                  <c:v>0.069</c:v>
                </c:pt>
                <c:pt idx="21">
                  <c:v>0.0697</c:v>
                </c:pt>
                <c:pt idx="22">
                  <c:v>0.0704000000000001</c:v>
                </c:pt>
                <c:pt idx="23">
                  <c:v>0.0711000000000001</c:v>
                </c:pt>
                <c:pt idx="24">
                  <c:v>0.0718000000000001</c:v>
                </c:pt>
                <c:pt idx="25">
                  <c:v>0.0725000000000001</c:v>
                </c:pt>
                <c:pt idx="26">
                  <c:v>0.0732000000000001</c:v>
                </c:pt>
                <c:pt idx="27">
                  <c:v>0.0739000000000001</c:v>
                </c:pt>
                <c:pt idx="28">
                  <c:v>0.0746000000000001</c:v>
                </c:pt>
                <c:pt idx="29">
                  <c:v>0.0753000000000001</c:v>
                </c:pt>
                <c:pt idx="30">
                  <c:v>0.0760000000000001</c:v>
                </c:pt>
                <c:pt idx="31">
                  <c:v>0.0767000000000001</c:v>
                </c:pt>
                <c:pt idx="32">
                  <c:v>0.0774000000000001</c:v>
                </c:pt>
                <c:pt idx="33">
                  <c:v>0.0781000000000001</c:v>
                </c:pt>
                <c:pt idx="34">
                  <c:v>0.0788000000000001</c:v>
                </c:pt>
                <c:pt idx="35">
                  <c:v>0.0795000000000001</c:v>
                </c:pt>
                <c:pt idx="36">
                  <c:v>0.0802000000000001</c:v>
                </c:pt>
                <c:pt idx="37">
                  <c:v>0.0809000000000001</c:v>
                </c:pt>
                <c:pt idx="38">
                  <c:v>0.0816000000000001</c:v>
                </c:pt>
                <c:pt idx="39">
                  <c:v>0.0823000000000001</c:v>
                </c:pt>
                <c:pt idx="40">
                  <c:v>0.0830000000000002</c:v>
                </c:pt>
                <c:pt idx="41">
                  <c:v>0.0837000000000002</c:v>
                </c:pt>
                <c:pt idx="42">
                  <c:v>0.0844000000000002</c:v>
                </c:pt>
                <c:pt idx="43">
                  <c:v>0.0851000000000002</c:v>
                </c:pt>
                <c:pt idx="44">
                  <c:v>0.0858000000000002</c:v>
                </c:pt>
                <c:pt idx="45">
                  <c:v>0.0865000000000002</c:v>
                </c:pt>
                <c:pt idx="46">
                  <c:v>0.0872000000000002</c:v>
                </c:pt>
                <c:pt idx="47">
                  <c:v>0.0879000000000002</c:v>
                </c:pt>
                <c:pt idx="48">
                  <c:v>0.0886000000000002</c:v>
                </c:pt>
                <c:pt idx="49">
                  <c:v>0.0893000000000002</c:v>
                </c:pt>
                <c:pt idx="50">
                  <c:v>0.0900000000000002</c:v>
                </c:pt>
                <c:pt idx="51">
                  <c:v>0.0907000000000002</c:v>
                </c:pt>
                <c:pt idx="52">
                  <c:v>0.0914000000000002</c:v>
                </c:pt>
                <c:pt idx="53">
                  <c:v>0.0921000000000002</c:v>
                </c:pt>
                <c:pt idx="54">
                  <c:v>0.0928000000000002</c:v>
                </c:pt>
                <c:pt idx="55">
                  <c:v>0.0935000000000002</c:v>
                </c:pt>
                <c:pt idx="56">
                  <c:v>0.0942000000000002</c:v>
                </c:pt>
                <c:pt idx="57">
                  <c:v>0.0949000000000003</c:v>
                </c:pt>
                <c:pt idx="58">
                  <c:v>0.0956000000000003</c:v>
                </c:pt>
                <c:pt idx="59">
                  <c:v>0.0963000000000003</c:v>
                </c:pt>
                <c:pt idx="60">
                  <c:v>0.0970000000000003</c:v>
                </c:pt>
                <c:pt idx="61">
                  <c:v>0.0977000000000003</c:v>
                </c:pt>
                <c:pt idx="62">
                  <c:v>0.0984000000000003</c:v>
                </c:pt>
                <c:pt idx="63">
                  <c:v>0.0991000000000003</c:v>
                </c:pt>
                <c:pt idx="64">
                  <c:v>0.0998000000000003</c:v>
                </c:pt>
                <c:pt idx="65">
                  <c:v>0.1005</c:v>
                </c:pt>
                <c:pt idx="66">
                  <c:v>0.1012</c:v>
                </c:pt>
                <c:pt idx="67">
                  <c:v>0.1019</c:v>
                </c:pt>
                <c:pt idx="68">
                  <c:v>0.1026</c:v>
                </c:pt>
                <c:pt idx="69">
                  <c:v>0.1033</c:v>
                </c:pt>
                <c:pt idx="70">
                  <c:v>0.104</c:v>
                </c:pt>
                <c:pt idx="71">
                  <c:v>0.1047</c:v>
                </c:pt>
                <c:pt idx="72">
                  <c:v>0.1054</c:v>
                </c:pt>
                <c:pt idx="73">
                  <c:v>0.1061</c:v>
                </c:pt>
                <c:pt idx="74">
                  <c:v>0.1068</c:v>
                </c:pt>
                <c:pt idx="75">
                  <c:v>0.1075</c:v>
                </c:pt>
                <c:pt idx="76">
                  <c:v>0.1082</c:v>
                </c:pt>
                <c:pt idx="77">
                  <c:v>0.1089</c:v>
                </c:pt>
                <c:pt idx="78">
                  <c:v>0.1096</c:v>
                </c:pt>
                <c:pt idx="79">
                  <c:v>0.1103</c:v>
                </c:pt>
                <c:pt idx="80">
                  <c:v>0.111</c:v>
                </c:pt>
                <c:pt idx="81">
                  <c:v>0.1117</c:v>
                </c:pt>
                <c:pt idx="82">
                  <c:v>0.1124</c:v>
                </c:pt>
                <c:pt idx="83">
                  <c:v>0.1131</c:v>
                </c:pt>
                <c:pt idx="84">
                  <c:v>0.1138</c:v>
                </c:pt>
                <c:pt idx="85">
                  <c:v>0.1145</c:v>
                </c:pt>
                <c:pt idx="86">
                  <c:v>0.1152</c:v>
                </c:pt>
                <c:pt idx="87">
                  <c:v>0.1159</c:v>
                </c:pt>
                <c:pt idx="88">
                  <c:v>0.1166</c:v>
                </c:pt>
                <c:pt idx="89">
                  <c:v>0.1173</c:v>
                </c:pt>
                <c:pt idx="90">
                  <c:v>0.118</c:v>
                </c:pt>
                <c:pt idx="91">
                  <c:v>0.1187</c:v>
                </c:pt>
                <c:pt idx="92">
                  <c:v>0.1194</c:v>
                </c:pt>
                <c:pt idx="93">
                  <c:v>0.1201</c:v>
                </c:pt>
                <c:pt idx="94">
                  <c:v>0.1208</c:v>
                </c:pt>
                <c:pt idx="95">
                  <c:v>0.121500000000001</c:v>
                </c:pt>
                <c:pt idx="96">
                  <c:v>0.122200000000001</c:v>
                </c:pt>
                <c:pt idx="97">
                  <c:v>0.122900000000001</c:v>
                </c:pt>
                <c:pt idx="98">
                  <c:v>0.123600000000001</c:v>
                </c:pt>
                <c:pt idx="99">
                  <c:v>0.124300000000001</c:v>
                </c:pt>
              </c:numCache>
            </c:numRef>
          </c:yVal>
          <c:smooth val="1"/>
        </c:ser>
        <c:ser>
          <c:idx val="1"/>
          <c:order val="1"/>
          <c:tx>
            <c:v>3 Asserts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各种资产对比!$D$5:$D$105</c:f>
              <c:numCache>
                <c:formatCode>0.00%</c:formatCode>
                <c:ptCount val="101"/>
                <c:pt idx="0">
                  <c:v>0.109561463955793</c:v>
                </c:pt>
                <c:pt idx="1">
                  <c:v>0.108536187153954</c:v>
                </c:pt>
                <c:pt idx="2">
                  <c:v>0.107532561719727</c:v>
                </c:pt>
                <c:pt idx="3">
                  <c:v>0.106551199101848</c:v>
                </c:pt>
                <c:pt idx="4">
                  <c:v>0.105592720023789</c:v>
                </c:pt>
                <c:pt idx="5">
                  <c:v>0.104657765848974</c:v>
                </c:pt>
                <c:pt idx="6">
                  <c:v>0.103746946633586</c:v>
                </c:pt>
                <c:pt idx="7">
                  <c:v>0.102860916829627</c:v>
                </c:pt>
                <c:pt idx="8">
                  <c:v>0.10200032244173</c:v>
                </c:pt>
                <c:pt idx="9">
                  <c:v>0.101165812591746</c:v>
                </c:pt>
                <c:pt idx="10">
                  <c:v>0.100358027106818</c:v>
                </c:pt>
                <c:pt idx="11">
                  <c:v>0.0995776492564932</c:v>
                </c:pt>
                <c:pt idx="12">
                  <c:v>0.0988252951749633</c:v>
                </c:pt>
                <c:pt idx="13">
                  <c:v>0.0981016207477434</c:v>
                </c:pt>
                <c:pt idx="14">
                  <c:v>0.0974072651920561</c:v>
                </c:pt>
                <c:pt idx="15">
                  <c:v>0.0967428598037241</c:v>
                </c:pt>
                <c:pt idx="16">
                  <c:v>0.0961090257247283</c:v>
                </c:pt>
                <c:pt idx="17">
                  <c:v>0.0955063716222953</c:v>
                </c:pt>
                <c:pt idx="18">
                  <c:v>0.0949354912933064</c:v>
                </c:pt>
                <c:pt idx="19">
                  <c:v>0.0943969612100567</c:v>
                </c:pt>
                <c:pt idx="20">
                  <c:v>0.0938913380255626</c:v>
                </c:pt>
                <c:pt idx="21">
                  <c:v>0.0934191560586691</c:v>
                </c:pt>
                <c:pt idx="22">
                  <c:v>0.0929809247810726</c:v>
                </c:pt>
                <c:pt idx="23">
                  <c:v>0.0925771263299904</c:v>
                </c:pt>
                <c:pt idx="24">
                  <c:v>0.0922082130715076</c:v>
                </c:pt>
                <c:pt idx="25">
                  <c:v>0.0918746052405564</c:v>
                </c:pt>
                <c:pt idx="26">
                  <c:v>0.0915766886839747</c:v>
                </c:pt>
                <c:pt idx="27">
                  <c:v>0.0913148127331003</c:v>
                </c:pt>
                <c:pt idx="28">
                  <c:v>0.0910892882318593</c:v>
                </c:pt>
                <c:pt idx="29">
                  <c:v>0.0909003857452668</c:v>
                </c:pt>
                <c:pt idx="30">
                  <c:v>0.090746538653681</c:v>
                </c:pt>
                <c:pt idx="31">
                  <c:v>0.0906200524481128</c:v>
                </c:pt>
                <c:pt idx="32">
                  <c:v>0.0905201178580684</c:v>
                </c:pt>
                <c:pt idx="33">
                  <c:v>0.0904468228944266</c:v>
                </c:pt>
                <c:pt idx="34">
                  <c:v>0.0904002323540137</c:v>
                </c:pt>
                <c:pt idx="35">
                  <c:v>0.0903803875334706</c:v>
                </c:pt>
                <c:pt idx="36">
                  <c:v>0.0903873060491228</c:v>
                </c:pt>
                <c:pt idx="37">
                  <c:v>0.0904209817576212</c:v>
                </c:pt>
                <c:pt idx="38">
                  <c:v>0.0904813847831865</c:v>
                </c:pt>
                <c:pt idx="39">
                  <c:v>0.0905684616499081</c:v>
                </c:pt>
                <c:pt idx="40">
                  <c:v>0.0906821355177274</c:v>
                </c:pt>
                <c:pt idx="41">
                  <c:v>0.0908223086210095</c:v>
                </c:pt>
                <c:pt idx="42">
                  <c:v>0.0909888546604811</c:v>
                </c:pt>
                <c:pt idx="43">
                  <c:v>0.0911816308497006</c:v>
                </c:pt>
                <c:pt idx="44">
                  <c:v>0.0914004712212842</c:v>
                </c:pt>
                <c:pt idx="45">
                  <c:v>0.0916451890672342</c:v>
                </c:pt>
                <c:pt idx="46">
                  <c:v>0.0919155776816097</c:v>
                </c:pt>
                <c:pt idx="47">
                  <c:v>0.0922114112515134</c:v>
                </c:pt>
                <c:pt idx="48">
                  <c:v>0.0925324457286429</c:v>
                </c:pt>
                <c:pt idx="49">
                  <c:v>0.092878419776615</c:v>
                </c:pt>
                <c:pt idx="50">
                  <c:v>0.0932490558662815</c:v>
                </c:pt>
                <c:pt idx="51">
                  <c:v>0.093644061087314</c:v>
                </c:pt>
                <c:pt idx="52">
                  <c:v>0.0940631284289395</c:v>
                </c:pt>
                <c:pt idx="53">
                  <c:v>0.0945059378692088</c:v>
                </c:pt>
                <c:pt idx="54">
                  <c:v>0.0949721572794634</c:v>
                </c:pt>
                <c:pt idx="55">
                  <c:v>0.0954614436679454</c:v>
                </c:pt>
                <c:pt idx="56">
                  <c:v>0.0959734442850466</c:v>
                </c:pt>
                <c:pt idx="57">
                  <c:v>0.0965077975262485</c:v>
                </c:pt>
                <c:pt idx="58">
                  <c:v>0.0970641342715042</c:v>
                </c:pt>
                <c:pt idx="59">
                  <c:v>0.0976420787543087</c:v>
                </c:pt>
                <c:pt idx="60">
                  <c:v>0.098241249626241</c:v>
                </c:pt>
                <c:pt idx="61">
                  <c:v>0.0988612609461612</c:v>
                </c:pt>
                <c:pt idx="62">
                  <c:v>0.0995017231342322</c:v>
                </c:pt>
                <c:pt idx="63">
                  <c:v>0.100162243887478</c:v>
                </c:pt>
                <c:pt idx="64">
                  <c:v>0.100842429054166</c:v>
                </c:pt>
                <c:pt idx="65">
                  <c:v>0.10154188346486</c:v>
                </c:pt>
                <c:pt idx="66">
                  <c:v>0.102260221622074</c:v>
                </c:pt>
                <c:pt idx="67">
                  <c:v>0.102997029074857</c:v>
                </c:pt>
                <c:pt idx="68">
                  <c:v>0.1037519217816</c:v>
                </c:pt>
                <c:pt idx="69">
                  <c:v>0.104524507899249</c:v>
                </c:pt>
                <c:pt idx="70">
                  <c:v>0.105314398032092</c:v>
                </c:pt>
                <c:pt idx="71">
                  <c:v>0.106121205784802</c:v>
                </c:pt>
                <c:pt idx="72">
                  <c:v>0.106944548269913</c:v>
                </c:pt>
                <c:pt idx="73">
                  <c:v>0.10778404657076</c:v>
                </c:pt>
                <c:pt idx="74">
                  <c:v>0.108639326161186</c:v>
                </c:pt>
                <c:pt idx="75">
                  <c:v>0.109510017283454</c:v>
                </c:pt>
                <c:pt idx="76">
                  <c:v>0.110395755285993</c:v>
                </c:pt>
                <c:pt idx="77">
                  <c:v>0.111296180922725</c:v>
                </c:pt>
                <c:pt idx="78">
                  <c:v>0.112210940615789</c:v>
                </c:pt>
                <c:pt idx="79">
                  <c:v>0.113139686683554</c:v>
                </c:pt>
                <c:pt idx="80">
                  <c:v>0.11408207753588</c:v>
                </c:pt>
                <c:pt idx="81">
                  <c:v>0.115037777838538</c:v>
                </c:pt>
                <c:pt idx="82">
                  <c:v>0.116006445291757</c:v>
                </c:pt>
                <c:pt idx="83">
                  <c:v>0.116987797523981</c:v>
                </c:pt>
                <c:pt idx="84">
                  <c:v>0.117981478605198</c:v>
                </c:pt>
                <c:pt idx="85">
                  <c:v>0.118987192677625</c:v>
                </c:pt>
                <c:pt idx="86">
                  <c:v>0.12000463720962</c:v>
                </c:pt>
                <c:pt idx="87">
                  <c:v>0.121033516372118</c:v>
                </c:pt>
                <c:pt idx="88">
                  <c:v>0.122073541040078</c:v>
                </c:pt>
                <c:pt idx="89">
                  <c:v>0.123124428777576</c:v>
                </c:pt>
                <c:pt idx="90">
                  <c:v>0.124185903808048</c:v>
                </c:pt>
                <c:pt idx="91">
                  <c:v>0.125257696971149</c:v>
                </c:pt>
                <c:pt idx="92">
                  <c:v>0.126339545667567</c:v>
                </c:pt>
                <c:pt idx="93">
                  <c:v>0.127431193793101</c:v>
                </c:pt>
                <c:pt idx="94">
                  <c:v>0.12853239166319</c:v>
                </c:pt>
                <c:pt idx="95">
                  <c:v>0.129642895929014</c:v>
                </c:pt>
                <c:pt idx="96">
                  <c:v>0.130762469486238</c:v>
                </c:pt>
                <c:pt idx="97">
                  <c:v>0.13189088137735</c:v>
                </c:pt>
                <c:pt idx="98">
                  <c:v>0.133027906688507</c:v>
                </c:pt>
                <c:pt idx="99">
                  <c:v>0.134715469497213</c:v>
                </c:pt>
                <c:pt idx="100">
                  <c:v>0.138650667890696</c:v>
                </c:pt>
              </c:numCache>
            </c:numRef>
          </c:xVal>
          <c:yVal>
            <c:numRef>
              <c:f>各种资产对比!$E$5:$E$105</c:f>
              <c:numCache>
                <c:formatCode>0.00%</c:formatCode>
                <c:ptCount val="101"/>
                <c:pt idx="0">
                  <c:v>0.055</c:v>
                </c:pt>
                <c:pt idx="1">
                  <c:v>0.05573</c:v>
                </c:pt>
                <c:pt idx="2">
                  <c:v>0.05646</c:v>
                </c:pt>
                <c:pt idx="3">
                  <c:v>0.05719</c:v>
                </c:pt>
                <c:pt idx="4">
                  <c:v>0.05792</c:v>
                </c:pt>
                <c:pt idx="5">
                  <c:v>0.05865</c:v>
                </c:pt>
                <c:pt idx="6">
                  <c:v>0.05938</c:v>
                </c:pt>
                <c:pt idx="7">
                  <c:v>0.06011</c:v>
                </c:pt>
                <c:pt idx="8">
                  <c:v>0.06084</c:v>
                </c:pt>
                <c:pt idx="9">
                  <c:v>0.06157</c:v>
                </c:pt>
                <c:pt idx="10">
                  <c:v>0.0623</c:v>
                </c:pt>
                <c:pt idx="11">
                  <c:v>0.06303</c:v>
                </c:pt>
                <c:pt idx="12">
                  <c:v>0.06376</c:v>
                </c:pt>
                <c:pt idx="13">
                  <c:v>0.06449</c:v>
                </c:pt>
                <c:pt idx="14">
                  <c:v>0.06522</c:v>
                </c:pt>
                <c:pt idx="15">
                  <c:v>0.06595</c:v>
                </c:pt>
                <c:pt idx="16">
                  <c:v>0.06668</c:v>
                </c:pt>
                <c:pt idx="17">
                  <c:v>0.06741</c:v>
                </c:pt>
                <c:pt idx="18">
                  <c:v>0.06814</c:v>
                </c:pt>
                <c:pt idx="19">
                  <c:v>0.06887</c:v>
                </c:pt>
                <c:pt idx="20">
                  <c:v>0.0696</c:v>
                </c:pt>
                <c:pt idx="21">
                  <c:v>0.07033</c:v>
                </c:pt>
                <c:pt idx="22">
                  <c:v>0.0710599999999999</c:v>
                </c:pt>
                <c:pt idx="23">
                  <c:v>0.0717899999999999</c:v>
                </c:pt>
                <c:pt idx="24">
                  <c:v>0.0725199999999999</c:v>
                </c:pt>
                <c:pt idx="25">
                  <c:v>0.0732499999999999</c:v>
                </c:pt>
                <c:pt idx="26">
                  <c:v>0.0739799999999999</c:v>
                </c:pt>
                <c:pt idx="27">
                  <c:v>0.0747099999999999</c:v>
                </c:pt>
                <c:pt idx="28">
                  <c:v>0.0754399999999999</c:v>
                </c:pt>
                <c:pt idx="29">
                  <c:v>0.0761699999999999</c:v>
                </c:pt>
                <c:pt idx="30">
                  <c:v>0.0768999999999999</c:v>
                </c:pt>
                <c:pt idx="31">
                  <c:v>0.0776299999999999</c:v>
                </c:pt>
                <c:pt idx="32">
                  <c:v>0.0783599999999999</c:v>
                </c:pt>
                <c:pt idx="33">
                  <c:v>0.0790899999999999</c:v>
                </c:pt>
                <c:pt idx="34">
                  <c:v>0.0798199999999999</c:v>
                </c:pt>
                <c:pt idx="35">
                  <c:v>0.0805499999999999</c:v>
                </c:pt>
                <c:pt idx="36">
                  <c:v>0.0812799999999999</c:v>
                </c:pt>
                <c:pt idx="37">
                  <c:v>0.0820099999999999</c:v>
                </c:pt>
                <c:pt idx="38">
                  <c:v>0.0827399999999999</c:v>
                </c:pt>
                <c:pt idx="39">
                  <c:v>0.0834699999999998</c:v>
                </c:pt>
                <c:pt idx="40">
                  <c:v>0.0841999999999998</c:v>
                </c:pt>
                <c:pt idx="41">
                  <c:v>0.0849299999999998</c:v>
                </c:pt>
                <c:pt idx="42">
                  <c:v>0.0856599999999998</c:v>
                </c:pt>
                <c:pt idx="43">
                  <c:v>0.0863899999999998</c:v>
                </c:pt>
                <c:pt idx="44">
                  <c:v>0.0871199999999998</c:v>
                </c:pt>
                <c:pt idx="45">
                  <c:v>0.0878499999999998</c:v>
                </c:pt>
                <c:pt idx="46">
                  <c:v>0.0885799999999998</c:v>
                </c:pt>
                <c:pt idx="47">
                  <c:v>0.0893099999999998</c:v>
                </c:pt>
                <c:pt idx="48">
                  <c:v>0.0900399999999998</c:v>
                </c:pt>
                <c:pt idx="49">
                  <c:v>0.0907699999999998</c:v>
                </c:pt>
                <c:pt idx="50">
                  <c:v>0.0914999999999998</c:v>
                </c:pt>
                <c:pt idx="51">
                  <c:v>0.0922299999999998</c:v>
                </c:pt>
                <c:pt idx="52">
                  <c:v>0.0929599999999998</c:v>
                </c:pt>
                <c:pt idx="53">
                  <c:v>0.0936899999999998</c:v>
                </c:pt>
                <c:pt idx="54">
                  <c:v>0.0944199999999998</c:v>
                </c:pt>
                <c:pt idx="55">
                  <c:v>0.0951499999999998</c:v>
                </c:pt>
                <c:pt idx="56">
                  <c:v>0.0958799999999997</c:v>
                </c:pt>
                <c:pt idx="57">
                  <c:v>0.0966099999999997</c:v>
                </c:pt>
                <c:pt idx="58">
                  <c:v>0.0973399999999997</c:v>
                </c:pt>
                <c:pt idx="59">
                  <c:v>0.0980699999999997</c:v>
                </c:pt>
                <c:pt idx="60">
                  <c:v>0.0987999999999997</c:v>
                </c:pt>
                <c:pt idx="61">
                  <c:v>0.0995299999999997</c:v>
                </c:pt>
                <c:pt idx="62">
                  <c:v>0.10026</c:v>
                </c:pt>
                <c:pt idx="63">
                  <c:v>0.10099</c:v>
                </c:pt>
                <c:pt idx="64">
                  <c:v>0.10172</c:v>
                </c:pt>
                <c:pt idx="65">
                  <c:v>0.10245</c:v>
                </c:pt>
                <c:pt idx="66">
                  <c:v>0.10318</c:v>
                </c:pt>
                <c:pt idx="67">
                  <c:v>0.10391</c:v>
                </c:pt>
                <c:pt idx="68">
                  <c:v>0.10464</c:v>
                </c:pt>
                <c:pt idx="69">
                  <c:v>0.10537</c:v>
                </c:pt>
                <c:pt idx="70">
                  <c:v>0.1061</c:v>
                </c:pt>
                <c:pt idx="71">
                  <c:v>0.10683</c:v>
                </c:pt>
                <c:pt idx="72">
                  <c:v>0.10756</c:v>
                </c:pt>
                <c:pt idx="73">
                  <c:v>0.10829</c:v>
                </c:pt>
                <c:pt idx="74">
                  <c:v>0.10902</c:v>
                </c:pt>
                <c:pt idx="75">
                  <c:v>0.10975</c:v>
                </c:pt>
                <c:pt idx="76">
                  <c:v>0.11048</c:v>
                </c:pt>
                <c:pt idx="77">
                  <c:v>0.11121</c:v>
                </c:pt>
                <c:pt idx="78">
                  <c:v>0.11194</c:v>
                </c:pt>
                <c:pt idx="79">
                  <c:v>0.11267</c:v>
                </c:pt>
                <c:pt idx="80">
                  <c:v>0.1134</c:v>
                </c:pt>
                <c:pt idx="81">
                  <c:v>0.11413</c:v>
                </c:pt>
                <c:pt idx="82">
                  <c:v>0.11486</c:v>
                </c:pt>
                <c:pt idx="83">
                  <c:v>0.11559</c:v>
                </c:pt>
                <c:pt idx="84">
                  <c:v>0.11632</c:v>
                </c:pt>
                <c:pt idx="85">
                  <c:v>0.11705</c:v>
                </c:pt>
                <c:pt idx="86">
                  <c:v>0.11778</c:v>
                </c:pt>
                <c:pt idx="87">
                  <c:v>0.11851</c:v>
                </c:pt>
                <c:pt idx="88">
                  <c:v>0.11924</c:v>
                </c:pt>
                <c:pt idx="89">
                  <c:v>0.11997</c:v>
                </c:pt>
                <c:pt idx="90">
                  <c:v>0.1207</c:v>
                </c:pt>
                <c:pt idx="91">
                  <c:v>0.12143</c:v>
                </c:pt>
                <c:pt idx="92">
                  <c:v>0.12216</c:v>
                </c:pt>
                <c:pt idx="93">
                  <c:v>0.12289</c:v>
                </c:pt>
                <c:pt idx="94">
                  <c:v>0.12362</c:v>
                </c:pt>
                <c:pt idx="95">
                  <c:v>0.12435</c:v>
                </c:pt>
                <c:pt idx="96">
                  <c:v>0.12508</c:v>
                </c:pt>
                <c:pt idx="97">
                  <c:v>0.12581</c:v>
                </c:pt>
                <c:pt idx="98">
                  <c:v>0.12654</c:v>
                </c:pt>
                <c:pt idx="99">
                  <c:v>0.12727</c:v>
                </c:pt>
                <c:pt idx="100">
                  <c:v>0.128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各种资产对比!$G$3</c:f>
              <c:strCache>
                <c:ptCount val="1"/>
                <c:pt idx="0">
                  <c:v>添加REITs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各种资产对比!$G$5:$G$104</c:f>
              <c:numCache>
                <c:formatCode>0.00%</c:formatCode>
                <c:ptCount val="100"/>
                <c:pt idx="0">
                  <c:v>0.108839001580393</c:v>
                </c:pt>
                <c:pt idx="1">
                  <c:v>0.107388183034728</c:v>
                </c:pt>
                <c:pt idx="2">
                  <c:v>0.105990725029785</c:v>
                </c:pt>
                <c:pt idx="3">
                  <c:v>0.104648761864814</c:v>
                </c:pt>
                <c:pt idx="4">
                  <c:v>0.103364456783565</c:v>
                </c:pt>
                <c:pt idx="5">
                  <c:v>0.102139984782199</c:v>
                </c:pt>
                <c:pt idx="6">
                  <c:v>0.100977522524956</c:v>
                </c:pt>
                <c:pt idx="7">
                  <c:v>0.0998792351696375</c:v>
                </c:pt>
                <c:pt idx="8">
                  <c:v>0.0988472761312536</c:v>
                </c:pt>
                <c:pt idx="9">
                  <c:v>0.097883700073762</c:v>
                </c:pt>
                <c:pt idx="10">
                  <c:v>0.0969905887155805</c:v>
                </c:pt>
                <c:pt idx="11">
                  <c:v>0.0961663404670292</c:v>
                </c:pt>
                <c:pt idx="12">
                  <c:v>0.0953767397631087</c:v>
                </c:pt>
                <c:pt idx="13">
                  <c:v>0.0946133022871677</c:v>
                </c:pt>
                <c:pt idx="14">
                  <c:v>0.0938766663465963</c:v>
                </c:pt>
                <c:pt idx="15">
                  <c:v>0.0931674676689314</c:v>
                </c:pt>
                <c:pt idx="16">
                  <c:v>0.0924863374350859</c:v>
                </c:pt>
                <c:pt idx="17">
                  <c:v>0.0918339001964732</c:v>
                </c:pt>
                <c:pt idx="18">
                  <c:v>0.0912107720162896</c:v>
                </c:pt>
                <c:pt idx="19">
                  <c:v>0.0906175568426694</c:v>
                </c:pt>
                <c:pt idx="20">
                  <c:v>0.090054846162132</c:v>
                </c:pt>
                <c:pt idx="21">
                  <c:v>0.089523215197289</c:v>
                </c:pt>
                <c:pt idx="22">
                  <c:v>0.0890232204771702</c:v>
                </c:pt>
                <c:pt idx="23">
                  <c:v>0.0885553984766207</c:v>
                </c:pt>
                <c:pt idx="24">
                  <c:v>0.0881202552912975</c:v>
                </c:pt>
                <c:pt idx="25">
                  <c:v>0.0877182897712638</c:v>
                </c:pt>
                <c:pt idx="26">
                  <c:v>0.0873499584266749</c:v>
                </c:pt>
                <c:pt idx="27">
                  <c:v>0.0870156777853363</c:v>
                </c:pt>
                <c:pt idx="28">
                  <c:v>0.0867158472008402</c:v>
                </c:pt>
                <c:pt idx="29">
                  <c:v>0.0864508251151821</c:v>
                </c:pt>
                <c:pt idx="30">
                  <c:v>0.0862209325074282</c:v>
                </c:pt>
                <c:pt idx="31">
                  <c:v>0.0860264510126016</c:v>
                </c:pt>
                <c:pt idx="32">
                  <c:v>0.0858676212388287</c:v>
                </c:pt>
                <c:pt idx="33">
                  <c:v>0.0857446398055982</c:v>
                </c:pt>
                <c:pt idx="34">
                  <c:v>0.0856576646386587</c:v>
                </c:pt>
                <c:pt idx="35">
                  <c:v>0.0856068034640029</c:v>
                </c:pt>
                <c:pt idx="36">
                  <c:v>0.0855921206126131</c:v>
                </c:pt>
                <c:pt idx="37">
                  <c:v>0.0856136348447517</c:v>
                </c:pt>
                <c:pt idx="38">
                  <c:v>0.0856713176620321</c:v>
                </c:pt>
                <c:pt idx="39">
                  <c:v>0.0857650977814909</c:v>
                </c:pt>
                <c:pt idx="40">
                  <c:v>0.0858948585159626</c:v>
                </c:pt>
                <c:pt idx="41">
                  <c:v>0.0860604334149141</c:v>
                </c:pt>
                <c:pt idx="42">
                  <c:v>0.0862616147086205</c:v>
                </c:pt>
                <c:pt idx="43">
                  <c:v>0.0864973217288077</c:v>
                </c:pt>
                <c:pt idx="44">
                  <c:v>0.0867591849002216</c:v>
                </c:pt>
                <c:pt idx="45">
                  <c:v>0.0870449264377096</c:v>
                </c:pt>
                <c:pt idx="46">
                  <c:v>0.0873543236778604</c:v>
                </c:pt>
                <c:pt idx="47">
                  <c:v>0.0876871223484774</c:v>
                </c:pt>
                <c:pt idx="48">
                  <c:v>0.0880430623297236</c:v>
                </c:pt>
                <c:pt idx="49">
                  <c:v>0.0884218540522224</c:v>
                </c:pt>
                <c:pt idx="50">
                  <c:v>0.0888232041225706</c:v>
                </c:pt>
                <c:pt idx="51">
                  <c:v>0.0892468195882714</c:v>
                </c:pt>
                <c:pt idx="52">
                  <c:v>0.0896923859988407</c:v>
                </c:pt>
                <c:pt idx="53">
                  <c:v>0.0901595652789162</c:v>
                </c:pt>
                <c:pt idx="54">
                  <c:v>0.0906480222503941</c:v>
                </c:pt>
                <c:pt idx="55">
                  <c:v>0.09115742871215</c:v>
                </c:pt>
                <c:pt idx="56">
                  <c:v>0.0916874364886439</c:v>
                </c:pt>
                <c:pt idx="57">
                  <c:v>0.0922376754393689</c:v>
                </c:pt>
                <c:pt idx="58">
                  <c:v>0.0928077930183014</c:v>
                </c:pt>
                <c:pt idx="59">
                  <c:v>0.0933974166351756</c:v>
                </c:pt>
                <c:pt idx="60">
                  <c:v>0.0940061959393037</c:v>
                </c:pt>
                <c:pt idx="61">
                  <c:v>0.0946337622181335</c:v>
                </c:pt>
                <c:pt idx="62">
                  <c:v>0.0952797171401031</c:v>
                </c:pt>
                <c:pt idx="63">
                  <c:v>0.0959437162130131</c:v>
                </c:pt>
                <c:pt idx="64">
                  <c:v>0.0966253884008787</c:v>
                </c:pt>
                <c:pt idx="65">
                  <c:v>0.0973243430729567</c:v>
                </c:pt>
                <c:pt idx="66">
                  <c:v>0.0980402199575915</c:v>
                </c:pt>
                <c:pt idx="67">
                  <c:v>0.0987726512720826</c:v>
                </c:pt>
                <c:pt idx="68">
                  <c:v>0.0995212713196345</c:v>
                </c:pt>
                <c:pt idx="69">
                  <c:v>0.100285717696714</c:v>
                </c:pt>
                <c:pt idx="70">
                  <c:v>0.101065631234393</c:v>
                </c:pt>
                <c:pt idx="71">
                  <c:v>0.101860656652387</c:v>
                </c:pt>
                <c:pt idx="72">
                  <c:v>0.102670454565334</c:v>
                </c:pt>
                <c:pt idx="73">
                  <c:v>0.103494655342835</c:v>
                </c:pt>
                <c:pt idx="74">
                  <c:v>0.104332928849343</c:v>
                </c:pt>
                <c:pt idx="75">
                  <c:v>0.1051849386267</c:v>
                </c:pt>
                <c:pt idx="76">
                  <c:v>0.106050353603339</c:v>
                </c:pt>
                <c:pt idx="77">
                  <c:v>0.106928848299952</c:v>
                </c:pt>
                <c:pt idx="78">
                  <c:v>0.107820103004892</c:v>
                </c:pt>
                <c:pt idx="79">
                  <c:v>0.108723790923719</c:v>
                </c:pt>
                <c:pt idx="80">
                  <c:v>0.109639630118131</c:v>
                </c:pt>
                <c:pt idx="81">
                  <c:v>0.110567319470541</c:v>
                </c:pt>
                <c:pt idx="82">
                  <c:v>0.111506537044306</c:v>
                </c:pt>
                <c:pt idx="83">
                  <c:v>0.112457006834594</c:v>
                </c:pt>
                <c:pt idx="84">
                  <c:v>0.113418445954126</c:v>
                </c:pt>
                <c:pt idx="85">
                  <c:v>0.114390563852855</c:v>
                </c:pt>
                <c:pt idx="86">
                  <c:v>0.11537313212861</c:v>
                </c:pt>
                <c:pt idx="87">
                  <c:v>0.116365844882549</c:v>
                </c:pt>
                <c:pt idx="88">
                  <c:v>0.117368458314675</c:v>
                </c:pt>
                <c:pt idx="89">
                  <c:v>0.118380720866904</c:v>
                </c:pt>
                <c:pt idx="90">
                  <c:v>0.119402387131257</c:v>
                </c:pt>
                <c:pt idx="91">
                  <c:v>0.120433217785574</c:v>
                </c:pt>
                <c:pt idx="92">
                  <c:v>0.121472979520562</c:v>
                </c:pt>
                <c:pt idx="93">
                  <c:v>0.122521429920008</c:v>
                </c:pt>
                <c:pt idx="94">
                  <c:v>0.123578392569433</c:v>
                </c:pt>
                <c:pt idx="95">
                  <c:v>0.124643591295798</c:v>
                </c:pt>
                <c:pt idx="96">
                  <c:v>0.125716876838264</c:v>
                </c:pt>
                <c:pt idx="97">
                  <c:v>0.126797998796251</c:v>
                </c:pt>
                <c:pt idx="98">
                  <c:v>0.127891041211668</c:v>
                </c:pt>
                <c:pt idx="99">
                  <c:v>0.129024549710136</c:v>
                </c:pt>
              </c:numCache>
            </c:numRef>
          </c:xVal>
          <c:yVal>
            <c:numRef>
              <c:f>各种资产对比!$H$5:$H$104</c:f>
              <c:numCache>
                <c:formatCode>0.00%</c:formatCode>
                <c:ptCount val="100"/>
                <c:pt idx="0">
                  <c:v>0.055</c:v>
                </c:pt>
                <c:pt idx="1">
                  <c:v>0.0557</c:v>
                </c:pt>
                <c:pt idx="2">
                  <c:v>0.0564</c:v>
                </c:pt>
                <c:pt idx="3">
                  <c:v>0.0571</c:v>
                </c:pt>
                <c:pt idx="4">
                  <c:v>0.0578</c:v>
                </c:pt>
                <c:pt idx="5">
                  <c:v>0.0585</c:v>
                </c:pt>
                <c:pt idx="6">
                  <c:v>0.0592</c:v>
                </c:pt>
                <c:pt idx="7">
                  <c:v>0.0599</c:v>
                </c:pt>
                <c:pt idx="8">
                  <c:v>0.0606</c:v>
                </c:pt>
                <c:pt idx="9">
                  <c:v>0.0613</c:v>
                </c:pt>
                <c:pt idx="10">
                  <c:v>0.062</c:v>
                </c:pt>
                <c:pt idx="11">
                  <c:v>0.0627</c:v>
                </c:pt>
                <c:pt idx="12">
                  <c:v>0.0634</c:v>
                </c:pt>
                <c:pt idx="13">
                  <c:v>0.0641</c:v>
                </c:pt>
                <c:pt idx="14">
                  <c:v>0.0648</c:v>
                </c:pt>
                <c:pt idx="15">
                  <c:v>0.0655</c:v>
                </c:pt>
                <c:pt idx="16">
                  <c:v>0.0662</c:v>
                </c:pt>
                <c:pt idx="17">
                  <c:v>0.0669</c:v>
                </c:pt>
                <c:pt idx="18">
                  <c:v>0.0676</c:v>
                </c:pt>
                <c:pt idx="19">
                  <c:v>0.0683</c:v>
                </c:pt>
                <c:pt idx="20">
                  <c:v>0.069</c:v>
                </c:pt>
                <c:pt idx="21">
                  <c:v>0.0697</c:v>
                </c:pt>
                <c:pt idx="22">
                  <c:v>0.0704000000000001</c:v>
                </c:pt>
                <c:pt idx="23">
                  <c:v>0.0711000000000001</c:v>
                </c:pt>
                <c:pt idx="24">
                  <c:v>0.0718000000000001</c:v>
                </c:pt>
                <c:pt idx="25">
                  <c:v>0.0725000000000001</c:v>
                </c:pt>
                <c:pt idx="26">
                  <c:v>0.0732000000000001</c:v>
                </c:pt>
                <c:pt idx="27">
                  <c:v>0.0739000000000001</c:v>
                </c:pt>
                <c:pt idx="28">
                  <c:v>0.0746000000000001</c:v>
                </c:pt>
                <c:pt idx="29">
                  <c:v>0.0753000000000001</c:v>
                </c:pt>
                <c:pt idx="30">
                  <c:v>0.0760000000000001</c:v>
                </c:pt>
                <c:pt idx="31">
                  <c:v>0.0767000000000001</c:v>
                </c:pt>
                <c:pt idx="32">
                  <c:v>0.0774000000000001</c:v>
                </c:pt>
                <c:pt idx="33">
                  <c:v>0.0781000000000001</c:v>
                </c:pt>
                <c:pt idx="34">
                  <c:v>0.0788000000000001</c:v>
                </c:pt>
                <c:pt idx="35">
                  <c:v>0.0795000000000001</c:v>
                </c:pt>
                <c:pt idx="36">
                  <c:v>0.0802000000000001</c:v>
                </c:pt>
                <c:pt idx="37">
                  <c:v>0.0809000000000001</c:v>
                </c:pt>
                <c:pt idx="38">
                  <c:v>0.0816000000000001</c:v>
                </c:pt>
                <c:pt idx="39">
                  <c:v>0.0823000000000001</c:v>
                </c:pt>
                <c:pt idx="40">
                  <c:v>0.0830000000000002</c:v>
                </c:pt>
                <c:pt idx="41">
                  <c:v>0.0837000000000002</c:v>
                </c:pt>
                <c:pt idx="42">
                  <c:v>0.0844000000000002</c:v>
                </c:pt>
                <c:pt idx="43">
                  <c:v>0.0851000000000002</c:v>
                </c:pt>
                <c:pt idx="44">
                  <c:v>0.0858000000000002</c:v>
                </c:pt>
                <c:pt idx="45">
                  <c:v>0.0865000000000002</c:v>
                </c:pt>
                <c:pt idx="46">
                  <c:v>0.0872000000000002</c:v>
                </c:pt>
                <c:pt idx="47">
                  <c:v>0.0879000000000002</c:v>
                </c:pt>
                <c:pt idx="48">
                  <c:v>0.0886000000000002</c:v>
                </c:pt>
                <c:pt idx="49">
                  <c:v>0.0893000000000002</c:v>
                </c:pt>
                <c:pt idx="50">
                  <c:v>0.0900000000000002</c:v>
                </c:pt>
                <c:pt idx="51">
                  <c:v>0.0907000000000002</c:v>
                </c:pt>
                <c:pt idx="52">
                  <c:v>0.0914000000000002</c:v>
                </c:pt>
                <c:pt idx="53">
                  <c:v>0.0921000000000002</c:v>
                </c:pt>
                <c:pt idx="54">
                  <c:v>0.0928000000000002</c:v>
                </c:pt>
                <c:pt idx="55">
                  <c:v>0.0935000000000002</c:v>
                </c:pt>
                <c:pt idx="56">
                  <c:v>0.0942000000000002</c:v>
                </c:pt>
                <c:pt idx="57">
                  <c:v>0.0949000000000003</c:v>
                </c:pt>
                <c:pt idx="58">
                  <c:v>0.0956000000000003</c:v>
                </c:pt>
                <c:pt idx="59">
                  <c:v>0.0963000000000003</c:v>
                </c:pt>
                <c:pt idx="60">
                  <c:v>0.0970000000000003</c:v>
                </c:pt>
                <c:pt idx="61">
                  <c:v>0.0977000000000003</c:v>
                </c:pt>
                <c:pt idx="62">
                  <c:v>0.0984000000000003</c:v>
                </c:pt>
                <c:pt idx="63">
                  <c:v>0.0991000000000003</c:v>
                </c:pt>
                <c:pt idx="64">
                  <c:v>0.0998000000000003</c:v>
                </c:pt>
                <c:pt idx="65">
                  <c:v>0.1005</c:v>
                </c:pt>
                <c:pt idx="66">
                  <c:v>0.1012</c:v>
                </c:pt>
                <c:pt idx="67">
                  <c:v>0.1019</c:v>
                </c:pt>
                <c:pt idx="68">
                  <c:v>0.1026</c:v>
                </c:pt>
                <c:pt idx="69">
                  <c:v>0.1033</c:v>
                </c:pt>
                <c:pt idx="70">
                  <c:v>0.104</c:v>
                </c:pt>
                <c:pt idx="71">
                  <c:v>0.1047</c:v>
                </c:pt>
                <c:pt idx="72">
                  <c:v>0.1054</c:v>
                </c:pt>
                <c:pt idx="73">
                  <c:v>0.1061</c:v>
                </c:pt>
                <c:pt idx="74">
                  <c:v>0.1068</c:v>
                </c:pt>
                <c:pt idx="75">
                  <c:v>0.1075</c:v>
                </c:pt>
                <c:pt idx="76">
                  <c:v>0.1082</c:v>
                </c:pt>
                <c:pt idx="77">
                  <c:v>0.1089</c:v>
                </c:pt>
                <c:pt idx="78">
                  <c:v>0.1096</c:v>
                </c:pt>
                <c:pt idx="79">
                  <c:v>0.1103</c:v>
                </c:pt>
                <c:pt idx="80">
                  <c:v>0.111</c:v>
                </c:pt>
                <c:pt idx="81">
                  <c:v>0.1117</c:v>
                </c:pt>
                <c:pt idx="82">
                  <c:v>0.1124</c:v>
                </c:pt>
                <c:pt idx="83">
                  <c:v>0.1131</c:v>
                </c:pt>
                <c:pt idx="84">
                  <c:v>0.1138</c:v>
                </c:pt>
                <c:pt idx="85">
                  <c:v>0.1145</c:v>
                </c:pt>
                <c:pt idx="86">
                  <c:v>0.1152</c:v>
                </c:pt>
                <c:pt idx="87">
                  <c:v>0.1159</c:v>
                </c:pt>
                <c:pt idx="88">
                  <c:v>0.1166</c:v>
                </c:pt>
                <c:pt idx="89">
                  <c:v>0.1173</c:v>
                </c:pt>
                <c:pt idx="90">
                  <c:v>0.118</c:v>
                </c:pt>
                <c:pt idx="91">
                  <c:v>0.1187</c:v>
                </c:pt>
                <c:pt idx="92">
                  <c:v>0.1194</c:v>
                </c:pt>
                <c:pt idx="93">
                  <c:v>0.1201</c:v>
                </c:pt>
                <c:pt idx="94">
                  <c:v>0.1208</c:v>
                </c:pt>
                <c:pt idx="95">
                  <c:v>0.121500000000001</c:v>
                </c:pt>
                <c:pt idx="96">
                  <c:v>0.122200000000001</c:v>
                </c:pt>
                <c:pt idx="97">
                  <c:v>0.122900000000001</c:v>
                </c:pt>
                <c:pt idx="98">
                  <c:v>0.123600000000001</c:v>
                </c:pt>
                <c:pt idx="99">
                  <c:v>0.124300000000001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各种资产对比!$J$3</c:f>
              <c:strCache>
                <c:ptCount val="1"/>
                <c:pt idx="0">
                  <c:v>添加Commodities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各种资产对比!$J$5:$J$104</c:f>
              <c:numCache>
                <c:formatCode>0.00%</c:formatCode>
                <c:ptCount val="100"/>
                <c:pt idx="0">
                  <c:v>0.108407564382326</c:v>
                </c:pt>
                <c:pt idx="1">
                  <c:v>0.106682211185156</c:v>
                </c:pt>
                <c:pt idx="2">
                  <c:v>0.105034591298346</c:v>
                </c:pt>
                <c:pt idx="3">
                  <c:v>0.103468408810959</c:v>
                </c:pt>
                <c:pt idx="4">
                  <c:v>0.101987434909098</c:v>
                </c:pt>
                <c:pt idx="5">
                  <c:v>0.100595423129551</c:v>
                </c:pt>
                <c:pt idx="6">
                  <c:v>0.0992961149678046</c:v>
                </c:pt>
                <c:pt idx="7">
                  <c:v>0.0980931942521786</c:v>
                </c:pt>
                <c:pt idx="8">
                  <c:v>0.0969902473824146</c:v>
                </c:pt>
                <c:pt idx="9">
                  <c:v>0.0959887956458177</c:v>
                </c:pt>
                <c:pt idx="10">
                  <c:v>0.0950347549657854</c:v>
                </c:pt>
                <c:pt idx="11">
                  <c:v>0.0941027086876561</c:v>
                </c:pt>
                <c:pt idx="12">
                  <c:v>0.0931933245899964</c:v>
                </c:pt>
                <c:pt idx="13">
                  <c:v>0.0923072562491381</c:v>
                </c:pt>
                <c:pt idx="14">
                  <c:v>0.0914451897774085</c:v>
                </c:pt>
                <c:pt idx="15">
                  <c:v>0.0906078102576321</c:v>
                </c:pt>
                <c:pt idx="16">
                  <c:v>0.0897958083376642</c:v>
                </c:pt>
                <c:pt idx="17">
                  <c:v>0.0890099911653407</c:v>
                </c:pt>
                <c:pt idx="18">
                  <c:v>0.0882507174639458</c:v>
                </c:pt>
                <c:pt idx="19">
                  <c:v>0.0875190216778985</c:v>
                </c:pt>
                <c:pt idx="20">
                  <c:v>0.0868154856410206</c:v>
                </c:pt>
                <c:pt idx="21">
                  <c:v>0.0861407993217536</c:v>
                </c:pt>
                <c:pt idx="22">
                  <c:v>0.0854956457228641</c:v>
                </c:pt>
                <c:pt idx="23">
                  <c:v>0.0848806982559812</c:v>
                </c:pt>
                <c:pt idx="24">
                  <c:v>0.0842966964860866</c:v>
                </c:pt>
                <c:pt idx="25">
                  <c:v>0.0837441250029526</c:v>
                </c:pt>
                <c:pt idx="26">
                  <c:v>0.0832236941922889</c:v>
                </c:pt>
                <c:pt idx="27">
                  <c:v>0.0827359419111615</c:v>
                </c:pt>
                <c:pt idx="28">
                  <c:v>0.0822815926676433</c:v>
                </c:pt>
                <c:pt idx="29">
                  <c:v>0.0818611279447061</c:v>
                </c:pt>
                <c:pt idx="30">
                  <c:v>0.0814750723429802</c:v>
                </c:pt>
                <c:pt idx="31">
                  <c:v>0.081123965721603</c:v>
                </c:pt>
                <c:pt idx="32">
                  <c:v>0.0808081172191175</c:v>
                </c:pt>
                <c:pt idx="33">
                  <c:v>0.080528088632409</c:v>
                </c:pt>
                <c:pt idx="34">
                  <c:v>0.0802842056542774</c:v>
                </c:pt>
                <c:pt idx="35">
                  <c:v>0.0800767985420635</c:v>
                </c:pt>
                <c:pt idx="36">
                  <c:v>0.0799061513302503</c:v>
                </c:pt>
                <c:pt idx="37">
                  <c:v>0.0797677169184029</c:v>
                </c:pt>
                <c:pt idx="38">
                  <c:v>0.079656206897196</c:v>
                </c:pt>
                <c:pt idx="39">
                  <c:v>0.0795717287534876</c:v>
                </c:pt>
                <c:pt idx="40">
                  <c:v>0.0795143686454423</c:v>
                </c:pt>
                <c:pt idx="41">
                  <c:v>0.0794841876997944</c:v>
                </c:pt>
                <c:pt idx="42">
                  <c:v>0.0794812096265411</c:v>
                </c:pt>
                <c:pt idx="43">
                  <c:v>0.0795054447320949</c:v>
                </c:pt>
                <c:pt idx="44">
                  <c:v>0.0795568562586896</c:v>
                </c:pt>
                <c:pt idx="45">
                  <c:v>0.0796354065411821</c:v>
                </c:pt>
                <c:pt idx="46">
                  <c:v>0.0797410272409684</c:v>
                </c:pt>
                <c:pt idx="47">
                  <c:v>0.0798735802618153</c:v>
                </c:pt>
                <c:pt idx="48">
                  <c:v>0.0800329451375256</c:v>
                </c:pt>
                <c:pt idx="49">
                  <c:v>0.0802189620730751</c:v>
                </c:pt>
                <c:pt idx="50">
                  <c:v>0.0804314461509083</c:v>
                </c:pt>
                <c:pt idx="51">
                  <c:v>0.080670188229117</c:v>
                </c:pt>
                <c:pt idx="52">
                  <c:v>0.0809349559416141</c:v>
                </c:pt>
                <c:pt idx="53">
                  <c:v>0.0812254947806397</c:v>
                </c:pt>
                <c:pt idx="54">
                  <c:v>0.0815415292768263</c:v>
                </c:pt>
                <c:pt idx="55">
                  <c:v>0.0818827642210153</c:v>
                </c:pt>
                <c:pt idx="56">
                  <c:v>0.0822488859568343</c:v>
                </c:pt>
                <c:pt idx="57">
                  <c:v>0.0826395637151674</c:v>
                </c:pt>
                <c:pt idx="58">
                  <c:v>0.0830544509708895</c:v>
                </c:pt>
                <c:pt idx="59">
                  <c:v>0.0834931868254427</c:v>
                </c:pt>
                <c:pt idx="60">
                  <c:v>0.0839553973941538</c:v>
                </c:pt>
                <c:pt idx="61">
                  <c:v>0.0844406971909994</c:v>
                </c:pt>
                <c:pt idx="62">
                  <c:v>0.0849486905004634</c:v>
                </c:pt>
                <c:pt idx="63">
                  <c:v>0.0854789727274183</c:v>
                </c:pt>
                <c:pt idx="64">
                  <c:v>0.0860311317168129</c:v>
                </c:pt>
                <c:pt idx="65">
                  <c:v>0.0866047490358713</c:v>
                </c:pt>
                <c:pt idx="66">
                  <c:v>0.087199401212431</c:v>
                </c:pt>
                <c:pt idx="67">
                  <c:v>0.0878146609239973</c:v>
                </c:pt>
                <c:pt idx="68">
                  <c:v>0.0884500980990897</c:v>
                </c:pt>
                <c:pt idx="69">
                  <c:v>0.0891052811298636</c:v>
                </c:pt>
                <c:pt idx="70">
                  <c:v>0.0897797777245363</c:v>
                </c:pt>
                <c:pt idx="71">
                  <c:v>0.0904731558179607</c:v>
                </c:pt>
                <c:pt idx="72">
                  <c:v>0.0911849847869559</c:v>
                </c:pt>
                <c:pt idx="73">
                  <c:v>0.0919148359226184</c:v>
                </c:pt>
                <c:pt idx="74">
                  <c:v>0.092662283373092</c:v>
                </c:pt>
                <c:pt idx="75">
                  <c:v>0.0934269048134233</c:v>
                </c:pt>
                <c:pt idx="76">
                  <c:v>0.094208282073043</c:v>
                </c:pt>
                <c:pt idx="77">
                  <c:v>0.0950060017279518</c:v>
                </c:pt>
                <c:pt idx="78">
                  <c:v>0.0958196556171193</c:v>
                </c:pt>
                <c:pt idx="79">
                  <c:v>0.0966488413067163</c:v>
                </c:pt>
                <c:pt idx="80">
                  <c:v>0.097493162500704</c:v>
                </c:pt>
                <c:pt idx="81">
                  <c:v>0.0983522294000771</c:v>
                </c:pt>
                <c:pt idx="82">
                  <c:v>0.0992256590135239</c:v>
                </c:pt>
                <c:pt idx="83">
                  <c:v>0.100113075448717</c:v>
                </c:pt>
                <c:pt idx="84">
                  <c:v>0.101014110001875</c:v>
                </c:pt>
                <c:pt idx="85">
                  <c:v>0.101928401604153</c:v>
                </c:pt>
                <c:pt idx="86">
                  <c:v>0.102855596726938</c:v>
                </c:pt>
                <c:pt idx="87">
                  <c:v>0.103795349497017</c:v>
                </c:pt>
                <c:pt idx="88">
                  <c:v>0.104747322002697</c:v>
                </c:pt>
                <c:pt idx="89">
                  <c:v>0.105711184113401</c:v>
                </c:pt>
                <c:pt idx="90">
                  <c:v>0.106686613505286</c:v>
                </c:pt>
                <c:pt idx="91">
                  <c:v>0.107673295882445</c:v>
                </c:pt>
                <c:pt idx="92">
                  <c:v>0.108670924729687</c:v>
                </c:pt>
                <c:pt idx="93">
                  <c:v>0.109693718301433</c:v>
                </c:pt>
                <c:pt idx="94">
                  <c:v>0.110947633087216</c:v>
                </c:pt>
                <c:pt idx="95">
                  <c:v>0.112491585503181</c:v>
                </c:pt>
                <c:pt idx="96">
                  <c:v>0.114313824180991</c:v>
                </c:pt>
                <c:pt idx="97">
                  <c:v>0.116401280307571</c:v>
                </c:pt>
                <c:pt idx="98">
                  <c:v>0.118740218928636</c:v>
                </c:pt>
                <c:pt idx="99">
                  <c:v>0.121315355858167</c:v>
                </c:pt>
              </c:numCache>
            </c:numRef>
          </c:xVal>
          <c:yVal>
            <c:numRef>
              <c:f>各种资产对比!$K$5:$K$104</c:f>
              <c:numCache>
                <c:formatCode>0.00%</c:formatCode>
                <c:ptCount val="100"/>
                <c:pt idx="0">
                  <c:v>0.055</c:v>
                </c:pt>
                <c:pt idx="1">
                  <c:v>0.0557</c:v>
                </c:pt>
                <c:pt idx="2">
                  <c:v>0.0564</c:v>
                </c:pt>
                <c:pt idx="3">
                  <c:v>0.0571</c:v>
                </c:pt>
                <c:pt idx="4">
                  <c:v>0.0578</c:v>
                </c:pt>
                <c:pt idx="5">
                  <c:v>0.0585</c:v>
                </c:pt>
                <c:pt idx="6">
                  <c:v>0.0592</c:v>
                </c:pt>
                <c:pt idx="7">
                  <c:v>0.0599</c:v>
                </c:pt>
                <c:pt idx="8">
                  <c:v>0.0606</c:v>
                </c:pt>
                <c:pt idx="9">
                  <c:v>0.0613</c:v>
                </c:pt>
                <c:pt idx="10">
                  <c:v>0.062</c:v>
                </c:pt>
                <c:pt idx="11">
                  <c:v>0.0627</c:v>
                </c:pt>
                <c:pt idx="12">
                  <c:v>0.0634</c:v>
                </c:pt>
                <c:pt idx="13">
                  <c:v>0.0641</c:v>
                </c:pt>
                <c:pt idx="14">
                  <c:v>0.0648</c:v>
                </c:pt>
                <c:pt idx="15">
                  <c:v>0.0655</c:v>
                </c:pt>
                <c:pt idx="16">
                  <c:v>0.0662</c:v>
                </c:pt>
                <c:pt idx="17">
                  <c:v>0.0669</c:v>
                </c:pt>
                <c:pt idx="18">
                  <c:v>0.0676</c:v>
                </c:pt>
                <c:pt idx="19">
                  <c:v>0.0683</c:v>
                </c:pt>
                <c:pt idx="20">
                  <c:v>0.069</c:v>
                </c:pt>
                <c:pt idx="21">
                  <c:v>0.0697</c:v>
                </c:pt>
                <c:pt idx="22">
                  <c:v>0.0704000000000001</c:v>
                </c:pt>
                <c:pt idx="23">
                  <c:v>0.0711000000000001</c:v>
                </c:pt>
                <c:pt idx="24">
                  <c:v>0.0718000000000001</c:v>
                </c:pt>
                <c:pt idx="25">
                  <c:v>0.0725000000000001</c:v>
                </c:pt>
                <c:pt idx="26">
                  <c:v>0.0732000000000001</c:v>
                </c:pt>
                <c:pt idx="27">
                  <c:v>0.0739000000000001</c:v>
                </c:pt>
                <c:pt idx="28">
                  <c:v>0.0746000000000001</c:v>
                </c:pt>
                <c:pt idx="29">
                  <c:v>0.0753000000000001</c:v>
                </c:pt>
                <c:pt idx="30">
                  <c:v>0.0760000000000001</c:v>
                </c:pt>
                <c:pt idx="31">
                  <c:v>0.0767000000000001</c:v>
                </c:pt>
                <c:pt idx="32">
                  <c:v>0.0774000000000001</c:v>
                </c:pt>
                <c:pt idx="33">
                  <c:v>0.0781000000000001</c:v>
                </c:pt>
                <c:pt idx="34">
                  <c:v>0.0788000000000001</c:v>
                </c:pt>
                <c:pt idx="35">
                  <c:v>0.0795000000000001</c:v>
                </c:pt>
                <c:pt idx="36">
                  <c:v>0.0802000000000001</c:v>
                </c:pt>
                <c:pt idx="37">
                  <c:v>0.0809000000000001</c:v>
                </c:pt>
                <c:pt idx="38">
                  <c:v>0.0816000000000001</c:v>
                </c:pt>
                <c:pt idx="39">
                  <c:v>0.0823000000000001</c:v>
                </c:pt>
                <c:pt idx="40">
                  <c:v>0.0830000000000002</c:v>
                </c:pt>
                <c:pt idx="41">
                  <c:v>0.0837000000000002</c:v>
                </c:pt>
                <c:pt idx="42">
                  <c:v>0.0844000000000002</c:v>
                </c:pt>
                <c:pt idx="43">
                  <c:v>0.0851000000000002</c:v>
                </c:pt>
                <c:pt idx="44">
                  <c:v>0.0858000000000002</c:v>
                </c:pt>
                <c:pt idx="45">
                  <c:v>0.0865000000000002</c:v>
                </c:pt>
                <c:pt idx="46">
                  <c:v>0.0872000000000002</c:v>
                </c:pt>
                <c:pt idx="47">
                  <c:v>0.0879000000000002</c:v>
                </c:pt>
                <c:pt idx="48">
                  <c:v>0.0886000000000002</c:v>
                </c:pt>
                <c:pt idx="49">
                  <c:v>0.0893000000000002</c:v>
                </c:pt>
                <c:pt idx="50">
                  <c:v>0.0900000000000002</c:v>
                </c:pt>
                <c:pt idx="51">
                  <c:v>0.0907000000000002</c:v>
                </c:pt>
                <c:pt idx="52">
                  <c:v>0.0914000000000002</c:v>
                </c:pt>
                <c:pt idx="53">
                  <c:v>0.0921000000000002</c:v>
                </c:pt>
                <c:pt idx="54">
                  <c:v>0.0928000000000002</c:v>
                </c:pt>
                <c:pt idx="55">
                  <c:v>0.0935000000000002</c:v>
                </c:pt>
                <c:pt idx="56">
                  <c:v>0.0942000000000002</c:v>
                </c:pt>
                <c:pt idx="57">
                  <c:v>0.0949000000000003</c:v>
                </c:pt>
                <c:pt idx="58">
                  <c:v>0.0956000000000003</c:v>
                </c:pt>
                <c:pt idx="59">
                  <c:v>0.0963000000000003</c:v>
                </c:pt>
                <c:pt idx="60">
                  <c:v>0.0970000000000003</c:v>
                </c:pt>
                <c:pt idx="61">
                  <c:v>0.0977000000000003</c:v>
                </c:pt>
                <c:pt idx="62">
                  <c:v>0.0984000000000003</c:v>
                </c:pt>
                <c:pt idx="63">
                  <c:v>0.0991000000000003</c:v>
                </c:pt>
                <c:pt idx="64">
                  <c:v>0.0998000000000003</c:v>
                </c:pt>
                <c:pt idx="65">
                  <c:v>0.1005</c:v>
                </c:pt>
                <c:pt idx="66">
                  <c:v>0.1012</c:v>
                </c:pt>
                <c:pt idx="67">
                  <c:v>0.1019</c:v>
                </c:pt>
                <c:pt idx="68">
                  <c:v>0.1026</c:v>
                </c:pt>
                <c:pt idx="69">
                  <c:v>0.1033</c:v>
                </c:pt>
                <c:pt idx="70">
                  <c:v>0.104</c:v>
                </c:pt>
                <c:pt idx="71">
                  <c:v>0.1047</c:v>
                </c:pt>
                <c:pt idx="72">
                  <c:v>0.1054</c:v>
                </c:pt>
                <c:pt idx="73">
                  <c:v>0.1061</c:v>
                </c:pt>
                <c:pt idx="74">
                  <c:v>0.1068</c:v>
                </c:pt>
                <c:pt idx="75">
                  <c:v>0.1075</c:v>
                </c:pt>
                <c:pt idx="76">
                  <c:v>0.1082</c:v>
                </c:pt>
                <c:pt idx="77">
                  <c:v>0.1089</c:v>
                </c:pt>
                <c:pt idx="78">
                  <c:v>0.1096</c:v>
                </c:pt>
                <c:pt idx="79">
                  <c:v>0.1103</c:v>
                </c:pt>
                <c:pt idx="80">
                  <c:v>0.111</c:v>
                </c:pt>
                <c:pt idx="81">
                  <c:v>0.1117</c:v>
                </c:pt>
                <c:pt idx="82">
                  <c:v>0.1124</c:v>
                </c:pt>
                <c:pt idx="83">
                  <c:v>0.1131</c:v>
                </c:pt>
                <c:pt idx="84">
                  <c:v>0.1138</c:v>
                </c:pt>
                <c:pt idx="85">
                  <c:v>0.1145</c:v>
                </c:pt>
                <c:pt idx="86">
                  <c:v>0.1152</c:v>
                </c:pt>
                <c:pt idx="87">
                  <c:v>0.1159</c:v>
                </c:pt>
                <c:pt idx="88">
                  <c:v>0.1166</c:v>
                </c:pt>
                <c:pt idx="89">
                  <c:v>0.1173</c:v>
                </c:pt>
                <c:pt idx="90">
                  <c:v>0.118</c:v>
                </c:pt>
                <c:pt idx="91">
                  <c:v>0.1187</c:v>
                </c:pt>
                <c:pt idx="92">
                  <c:v>0.1194</c:v>
                </c:pt>
                <c:pt idx="93">
                  <c:v>0.1201</c:v>
                </c:pt>
                <c:pt idx="94">
                  <c:v>0.1208</c:v>
                </c:pt>
                <c:pt idx="95">
                  <c:v>0.121500000000001</c:v>
                </c:pt>
                <c:pt idx="96">
                  <c:v>0.122200000000001</c:v>
                </c:pt>
                <c:pt idx="97">
                  <c:v>0.122900000000001</c:v>
                </c:pt>
                <c:pt idx="98">
                  <c:v>0.123600000000001</c:v>
                </c:pt>
                <c:pt idx="99">
                  <c:v>0.124300000000001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90480"/>
        <c:axId val="62892528"/>
      </c:scatterChart>
      <c:valAx>
        <c:axId val="6289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892528"/>
        <c:crosses val="autoZero"/>
        <c:crossBetween val="midCat"/>
      </c:valAx>
      <c:valAx>
        <c:axId val="6289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89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809199</xdr:colOff>
      <xdr:row>10</xdr:row>
      <xdr:rowOff>95438</xdr:rowOff>
    </xdr:from>
    <xdr:to>
      <xdr:col>18</xdr:col>
      <xdr:colOff>596515</xdr:colOff>
      <xdr:row>30</xdr:row>
      <xdr:rowOff>105833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373829</xdr:colOff>
      <xdr:row>7</xdr:row>
      <xdr:rowOff>148200</xdr:rowOff>
    </xdr:from>
    <xdr:to>
      <xdr:col>25</xdr:col>
      <xdr:colOff>333214</xdr:colOff>
      <xdr:row>35</xdr:row>
      <xdr:rowOff>173922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690033</xdr:colOff>
      <xdr:row>12</xdr:row>
      <xdr:rowOff>40640</xdr:rowOff>
    </xdr:from>
    <xdr:to>
      <xdr:col>21</xdr:col>
      <xdr:colOff>644203</xdr:colOff>
      <xdr:row>42</xdr:row>
      <xdr:rowOff>92029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49C770-2667-D848-B766-D31BEF09133C}">
  <we:reference id="wa104100404" version="2.0.0.0" store="zh-CN" storeType="OMEX"/>
  <we:alternateReferences>
    <we:reference id="wa104100404" version="2.0.0.0" store="wa104100404" storeType="OMEX"/>
  </we:alternateReferences>
  <we:properties>
    <we:property name="UniqueID" value="&quot;20189291540794451072&quot;"/>
    <we:property name="Zi5TLC5SQzsALA==" value="&quot;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T111"/>
  <sheetViews>
    <sheetView tabSelected="1" zoomScale="82" workbookViewId="0">
      <selection activeCell="A3" sqref="A3"/>
    </sheetView>
  </sheetViews>
  <sheetFormatPr baseColWidth="10" defaultRowHeight="16" x14ac:dyDescent="0.2"/>
  <cols>
    <col min="1" max="1" width="12.1640625" style="10" bestFit="1" customWidth="1"/>
    <col min="2" max="4" width="12.5" style="10" bestFit="1" customWidth="1"/>
    <col min="5" max="5" width="10.33203125" style="10" customWidth="1"/>
    <col min="6" max="6" width="15.5" style="10" bestFit="1" customWidth="1"/>
    <col min="7" max="7" width="17.33203125" style="10" bestFit="1" customWidth="1"/>
    <col min="8" max="8" width="12.5" style="10" bestFit="1" customWidth="1"/>
    <col min="9" max="9" width="13.83203125" style="10" customWidth="1"/>
    <col min="10" max="10" width="17.33203125" style="10" bestFit="1" customWidth="1"/>
    <col min="11" max="11" width="20.83203125" style="10" bestFit="1" customWidth="1"/>
    <col min="12" max="16384" width="10.83203125" style="10"/>
  </cols>
  <sheetData>
    <row r="1" spans="1:20" x14ac:dyDescent="0.2">
      <c r="A1" s="25" t="s">
        <v>122</v>
      </c>
      <c r="B1" s="25"/>
      <c r="C1" s="25"/>
      <c r="D1" s="25"/>
      <c r="E1" s="9"/>
      <c r="F1" s="9"/>
      <c r="K1" s="9"/>
      <c r="L1" s="9"/>
    </row>
    <row r="2" spans="1:20" x14ac:dyDescent="0.2">
      <c r="A2" s="11" t="s">
        <v>123</v>
      </c>
      <c r="B2" s="12" t="s">
        <v>3</v>
      </c>
      <c r="C2" s="12" t="s">
        <v>4</v>
      </c>
      <c r="D2" s="12" t="s">
        <v>5</v>
      </c>
      <c r="E2" s="13"/>
      <c r="F2" s="12" t="s">
        <v>0</v>
      </c>
      <c r="G2" s="12" t="s">
        <v>3</v>
      </c>
      <c r="H2" s="12" t="s">
        <v>4</v>
      </c>
      <c r="I2" s="12" t="s">
        <v>5</v>
      </c>
      <c r="K2" s="26" t="s">
        <v>124</v>
      </c>
      <c r="L2" s="27"/>
      <c r="M2" s="27"/>
      <c r="N2" s="27"/>
      <c r="O2" s="28"/>
      <c r="Q2" s="9">
        <v>0</v>
      </c>
      <c r="R2" s="9">
        <v>3.2000000000000001E-2</v>
      </c>
      <c r="S2" s="9"/>
      <c r="T2" s="9"/>
    </row>
    <row r="3" spans="1:20" x14ac:dyDescent="0.2">
      <c r="A3" s="12" t="s">
        <v>3</v>
      </c>
      <c r="B3" s="11">
        <v>2.3134410000000005E-2</v>
      </c>
      <c r="C3" s="11">
        <v>1.3617208800000002E-2</v>
      </c>
      <c r="D3" s="11">
        <v>4.2207750000000004E-3</v>
      </c>
      <c r="E3" s="9"/>
      <c r="F3" s="12" t="s">
        <v>1</v>
      </c>
      <c r="G3" s="12">
        <v>0.12939999999999999</v>
      </c>
      <c r="H3" s="12">
        <v>0.1242</v>
      </c>
      <c r="I3" s="12">
        <v>5.3999999999999999E-2</v>
      </c>
      <c r="K3" s="11" t="s">
        <v>125</v>
      </c>
      <c r="L3" s="11" t="s">
        <v>3</v>
      </c>
      <c r="M3" s="11" t="s">
        <v>4</v>
      </c>
      <c r="N3" s="11" t="s">
        <v>5</v>
      </c>
      <c r="O3" s="11" t="s">
        <v>13</v>
      </c>
      <c r="Q3" s="9">
        <v>0.11983008127217327</v>
      </c>
      <c r="R3" s="9">
        <v>0.117655355401383</v>
      </c>
      <c r="S3" s="9"/>
      <c r="T3" s="9"/>
    </row>
    <row r="4" spans="1:20" x14ac:dyDescent="0.2">
      <c r="A4" s="12" t="s">
        <v>4</v>
      </c>
      <c r="B4" s="11">
        <v>1.3617208800000001E-2</v>
      </c>
      <c r="C4" s="11">
        <v>2.0851359999999999E-2</v>
      </c>
      <c r="D4" s="11">
        <v>9.6170399999999997E-4</v>
      </c>
      <c r="E4" s="9"/>
      <c r="F4" s="12" t="s">
        <v>2</v>
      </c>
      <c r="G4" s="12">
        <v>0.15210000000000001</v>
      </c>
      <c r="H4" s="12">
        <v>0.1444</v>
      </c>
      <c r="I4" s="12">
        <v>0.111</v>
      </c>
      <c r="K4" s="11" t="s">
        <v>126</v>
      </c>
      <c r="L4" s="11">
        <v>0.40661835244335781</v>
      </c>
      <c r="M4" s="11">
        <v>0.47003321406202181</v>
      </c>
      <c r="N4" s="11">
        <v>0.12334843349462041</v>
      </c>
      <c r="O4" s="11">
        <f>SUM(L4:N4)</f>
        <v>1</v>
      </c>
      <c r="Q4" s="9"/>
      <c r="R4" s="9"/>
      <c r="S4" s="9"/>
      <c r="T4" s="9"/>
    </row>
    <row r="5" spans="1:20" x14ac:dyDescent="0.2">
      <c r="A5" s="12" t="s">
        <v>5</v>
      </c>
      <c r="B5" s="11">
        <v>4.2207750000000004E-3</v>
      </c>
      <c r="C5" s="11">
        <v>9.6170400000000007E-4</v>
      </c>
      <c r="D5" s="11">
        <v>1.2321E-2</v>
      </c>
      <c r="E5" s="9"/>
      <c r="F5" s="11" t="s">
        <v>127</v>
      </c>
      <c r="G5" s="11">
        <v>3.2000000000000001E-2</v>
      </c>
      <c r="K5" s="11" t="s">
        <v>128</v>
      </c>
      <c r="L5" s="26">
        <v>0.117655355401383</v>
      </c>
      <c r="M5" s="27"/>
      <c r="N5" s="27"/>
      <c r="O5" s="28"/>
      <c r="Q5" s="9"/>
      <c r="R5" s="9"/>
      <c r="S5" s="9"/>
      <c r="T5" s="9"/>
    </row>
    <row r="6" spans="1:20" x14ac:dyDescent="0.2">
      <c r="A6" s="13"/>
      <c r="B6" s="9"/>
      <c r="C6" s="9"/>
      <c r="D6" s="9"/>
      <c r="E6" s="9"/>
      <c r="F6" s="9"/>
      <c r="K6" s="11" t="s">
        <v>129</v>
      </c>
      <c r="L6" s="26">
        <f t="array" ref="L6">SQRT(MMULT(L4:N4,MMULT(B3:D5,TRANSPOSE(L4:N4))))</f>
        <v>0.11983008127217327</v>
      </c>
      <c r="M6" s="27"/>
      <c r="N6" s="27"/>
      <c r="O6" s="28"/>
    </row>
    <row r="7" spans="1:20" ht="18" customHeight="1" x14ac:dyDescent="0.2">
      <c r="A7" s="13"/>
      <c r="B7" s="13"/>
      <c r="C7" s="13"/>
      <c r="D7" s="13"/>
      <c r="E7" s="13"/>
      <c r="F7" s="13"/>
      <c r="G7" s="13"/>
      <c r="H7" s="13"/>
      <c r="I7" s="13"/>
      <c r="J7" s="13"/>
      <c r="K7" s="11" t="s">
        <v>130</v>
      </c>
      <c r="L7" s="25">
        <f>(L5-G5)/L6</f>
        <v>0.71480678717751756</v>
      </c>
      <c r="M7" s="25"/>
      <c r="N7" s="25"/>
      <c r="O7" s="25"/>
    </row>
    <row r="8" spans="1:20" x14ac:dyDescent="0.2">
      <c r="A8" s="13"/>
      <c r="B8" s="13"/>
      <c r="C8" s="13"/>
      <c r="D8" s="13"/>
      <c r="E8" s="13"/>
      <c r="F8" s="13"/>
      <c r="G8" s="13"/>
      <c r="H8" s="13"/>
      <c r="I8" s="13"/>
      <c r="J8" s="13"/>
    </row>
    <row r="9" spans="1:20" x14ac:dyDescent="0.2">
      <c r="A9" s="24" t="s">
        <v>114</v>
      </c>
      <c r="B9" s="24"/>
      <c r="C9" s="24"/>
      <c r="D9" s="24"/>
      <c r="E9" s="24"/>
      <c r="F9" s="24"/>
      <c r="G9" s="24"/>
      <c r="H9" s="24"/>
      <c r="I9" s="13"/>
      <c r="J9" s="24" t="s">
        <v>135</v>
      </c>
      <c r="K9" s="24"/>
    </row>
    <row r="10" spans="1:20" x14ac:dyDescent="0.2">
      <c r="A10" s="12"/>
      <c r="B10" s="12" t="s">
        <v>3</v>
      </c>
      <c r="C10" s="12" t="s">
        <v>4</v>
      </c>
      <c r="D10" s="12" t="s">
        <v>5</v>
      </c>
      <c r="E10" s="12" t="s">
        <v>13</v>
      </c>
      <c r="F10" s="11" t="s">
        <v>128</v>
      </c>
      <c r="G10" s="11" t="s">
        <v>129</v>
      </c>
      <c r="H10" s="11" t="s">
        <v>131</v>
      </c>
      <c r="J10" s="11" t="s">
        <v>129</v>
      </c>
      <c r="K10" s="11" t="s">
        <v>128</v>
      </c>
    </row>
    <row r="11" spans="1:20" x14ac:dyDescent="0.2">
      <c r="A11" s="11" t="s">
        <v>15</v>
      </c>
      <c r="B11" s="11">
        <v>0</v>
      </c>
      <c r="C11" s="11">
        <v>1.4245014245011102E-2</v>
      </c>
      <c r="D11" s="11">
        <v>0.98575498575498899</v>
      </c>
      <c r="E11" s="11">
        <f>SUM(B11:D11)</f>
        <v>1</v>
      </c>
      <c r="F11" s="11">
        <v>5.5E-2</v>
      </c>
      <c r="G11" s="11">
        <f t="array" ref="G11">SQRT(MMULT(B11:D11,MMULT($B$3:$D$5,TRANSPOSE(B11:D11))))</f>
        <v>0.10956146395579316</v>
      </c>
      <c r="H11" s="11">
        <f t="array" ref="H11">MMULT(B11:D11,TRANSPOSE($G$3:$I$3))</f>
        <v>5.4999999999999785E-2</v>
      </c>
      <c r="J11" s="11">
        <v>0.10956146395579316</v>
      </c>
      <c r="K11" s="11">
        <v>5.5E-2</v>
      </c>
    </row>
    <row r="12" spans="1:20" x14ac:dyDescent="0.2">
      <c r="A12" s="11" t="s">
        <v>132</v>
      </c>
      <c r="B12" s="11">
        <v>-9.9999999947364415E-9</v>
      </c>
      <c r="C12" s="11">
        <v>2.4643885384615469E-2</v>
      </c>
      <c r="D12" s="11">
        <v>0.97535612461538457</v>
      </c>
      <c r="E12" s="11">
        <f t="shared" ref="E12:E75" si="0">SUM(B12:D12)</f>
        <v>1</v>
      </c>
      <c r="F12" s="11">
        <f>F11+0.00073</f>
        <v>5.5730000000000002E-2</v>
      </c>
      <c r="G12" s="11">
        <f t="array" ref="G12">SQRT(MMULT(B12:D12,MMULT($B$3:$D$5,TRANSPOSE(B12:D12))))</f>
        <v>0.10853618715395429</v>
      </c>
      <c r="H12" s="11">
        <f t="array" ref="H12">MMULT(B12:D12,TRANSPOSE($G$3:$I$3))</f>
        <v>5.5730000000000009E-2</v>
      </c>
      <c r="J12" s="11">
        <v>0.10853618715395429</v>
      </c>
      <c r="K12" s="11">
        <f>K11+0.00073</f>
        <v>5.5730000000000002E-2</v>
      </c>
    </row>
    <row r="13" spans="1:20" x14ac:dyDescent="0.2">
      <c r="A13" s="11" t="s">
        <v>16</v>
      </c>
      <c r="B13" s="11">
        <v>-9.9999999947364415E-9</v>
      </c>
      <c r="C13" s="11">
        <v>3.5042745783476006E-2</v>
      </c>
      <c r="D13" s="11">
        <v>0.96495726421652406</v>
      </c>
      <c r="E13" s="11">
        <f t="shared" si="0"/>
        <v>1</v>
      </c>
      <c r="F13" s="11">
        <f t="shared" ref="F13:F76" si="1">F12+0.00073</f>
        <v>5.6460000000000003E-2</v>
      </c>
      <c r="G13" s="11">
        <f t="array" ref="G13">SQRT(MMULT(B13:D13,MMULT($B$3:$D$5,TRANSPOSE(B13:D13))))</f>
        <v>0.10753256171972707</v>
      </c>
      <c r="H13" s="11">
        <f t="array" ref="H13">MMULT(B13:D13,TRANSPOSE($G$3:$I$3))</f>
        <v>5.6460000000000017E-2</v>
      </c>
      <c r="J13" s="11">
        <v>0.10753256171972707</v>
      </c>
      <c r="K13" s="11">
        <f t="shared" ref="K13:K76" si="2">K12+0.00073</f>
        <v>5.6460000000000003E-2</v>
      </c>
    </row>
    <row r="14" spans="1:20" x14ac:dyDescent="0.2">
      <c r="A14" s="11" t="s">
        <v>17</v>
      </c>
      <c r="B14" s="11">
        <v>-9.9999999947364415E-9</v>
      </c>
      <c r="C14" s="11">
        <v>4.5441606182336239E-2</v>
      </c>
      <c r="D14" s="11">
        <v>0.95455840381766377</v>
      </c>
      <c r="E14" s="11">
        <f t="shared" si="0"/>
        <v>1</v>
      </c>
      <c r="F14" s="11">
        <f t="shared" si="1"/>
        <v>5.7190000000000005E-2</v>
      </c>
      <c r="G14" s="11">
        <f t="array" ref="G14">SQRT(MMULT(B14:D14,MMULT($B$3:$D$5,TRANSPOSE(B14:D14))))</f>
        <v>0.10655119910184792</v>
      </c>
      <c r="H14" s="11">
        <f t="array" ref="H14">MMULT(B14:D14,TRANSPOSE($G$3:$I$3))</f>
        <v>5.7190000000000005E-2</v>
      </c>
      <c r="J14" s="11">
        <v>0.10655119910184792</v>
      </c>
      <c r="K14" s="11">
        <f t="shared" si="2"/>
        <v>5.7190000000000005E-2</v>
      </c>
    </row>
    <row r="15" spans="1:20" x14ac:dyDescent="0.2">
      <c r="A15" s="11" t="s">
        <v>18</v>
      </c>
      <c r="B15" s="11">
        <v>-9.9999999947364415E-9</v>
      </c>
      <c r="C15" s="11">
        <v>5.5840466581196666E-2</v>
      </c>
      <c r="D15" s="11">
        <v>0.94415954341880326</v>
      </c>
      <c r="E15" s="11">
        <f t="shared" si="0"/>
        <v>0.99999999999999989</v>
      </c>
      <c r="F15" s="11">
        <f t="shared" si="1"/>
        <v>5.7920000000000006E-2</v>
      </c>
      <c r="G15" s="11">
        <f t="array" ref="G15">SQRT(MMULT(B15:D15,MMULT($B$3:$D$5,TRANSPOSE(B15:D15))))</f>
        <v>0.10559272002378937</v>
      </c>
      <c r="H15" s="11">
        <f t="array" ref="H15">MMULT(B15:D15,TRANSPOSE($G$3:$I$3))</f>
        <v>5.7919999999999999E-2</v>
      </c>
      <c r="J15" s="11">
        <v>0.10559272002378937</v>
      </c>
      <c r="K15" s="11">
        <f t="shared" si="2"/>
        <v>5.7920000000000006E-2</v>
      </c>
    </row>
    <row r="16" spans="1:20" x14ac:dyDescent="0.2">
      <c r="A16" s="11" t="s">
        <v>19</v>
      </c>
      <c r="B16" s="11">
        <v>-9.9999999947364415E-9</v>
      </c>
      <c r="C16" s="11">
        <v>6.6239184529914619E-2</v>
      </c>
      <c r="D16" s="11">
        <v>0.93376082547008532</v>
      </c>
      <c r="E16" s="11">
        <f t="shared" si="0"/>
        <v>1</v>
      </c>
      <c r="F16" s="11">
        <f t="shared" si="1"/>
        <v>5.8650000000000008E-2</v>
      </c>
      <c r="G16" s="11">
        <f t="array" ref="G16">SQRT(MMULT(B16:D16,MMULT($B$3:$D$5,TRANSPOSE(B16:D16))))</f>
        <v>0.1046577658489739</v>
      </c>
      <c r="H16" s="11">
        <f t="array" ref="H16">MMULT(B16:D16,TRANSPOSE($G$3:$I$3))</f>
        <v>5.8649990000000006E-2</v>
      </c>
      <c r="J16" s="11">
        <v>0.1046577658489739</v>
      </c>
      <c r="K16" s="11">
        <f t="shared" si="2"/>
        <v>5.8650000000000008E-2</v>
      </c>
    </row>
    <row r="17" spans="1:11" x14ac:dyDescent="0.2">
      <c r="A17" s="11" t="s">
        <v>20</v>
      </c>
      <c r="B17" s="11">
        <v>-9.9999999947364415E-9</v>
      </c>
      <c r="C17" s="11">
        <v>7.6638044928775059E-2</v>
      </c>
      <c r="D17" s="11">
        <v>0.92336196507122481</v>
      </c>
      <c r="E17" s="11">
        <f t="shared" si="0"/>
        <v>0.99999999999999989</v>
      </c>
      <c r="F17" s="11">
        <f t="shared" si="1"/>
        <v>5.9380000000000009E-2</v>
      </c>
      <c r="G17" s="11">
        <f t="array" ref="G17">SQRT(MMULT(B17:D17,MMULT($B$3:$D$5,TRANSPOSE(B17:D17))))</f>
        <v>0.10374694663358557</v>
      </c>
      <c r="H17" s="11">
        <f t="array" ref="H17">MMULT(B17:D17,TRANSPOSE($G$3:$I$3))</f>
        <v>5.9379990000000007E-2</v>
      </c>
      <c r="J17" s="11">
        <v>0.10374694663358557</v>
      </c>
      <c r="K17" s="11">
        <f t="shared" si="2"/>
        <v>5.9380000000000009E-2</v>
      </c>
    </row>
    <row r="18" spans="1:11" x14ac:dyDescent="0.2">
      <c r="A18" s="11" t="s">
        <v>21</v>
      </c>
      <c r="B18" s="11">
        <v>-9.9999999947364415E-9</v>
      </c>
      <c r="C18" s="11">
        <v>8.7036905327635389E-2</v>
      </c>
      <c r="D18" s="11">
        <v>0.91296310467236452</v>
      </c>
      <c r="E18" s="11">
        <f t="shared" si="0"/>
        <v>0.99999999999999989</v>
      </c>
      <c r="F18" s="11">
        <f t="shared" si="1"/>
        <v>6.0110000000000011E-2</v>
      </c>
      <c r="G18" s="11">
        <f t="array" ref="G18">SQRT(MMULT(B18:D18,MMULT($B$3:$D$5,TRANSPOSE(B18:D18))))</f>
        <v>0.10286091682962711</v>
      </c>
      <c r="H18" s="11">
        <f t="array" ref="H18">MMULT(B18:D18,TRANSPOSE($G$3:$I$3))</f>
        <v>6.0109990000000002E-2</v>
      </c>
      <c r="J18" s="11">
        <v>0.10286091682962711</v>
      </c>
      <c r="K18" s="11">
        <f t="shared" si="2"/>
        <v>6.0110000000000011E-2</v>
      </c>
    </row>
    <row r="19" spans="1:11" x14ac:dyDescent="0.2">
      <c r="A19" s="11" t="s">
        <v>22</v>
      </c>
      <c r="B19" s="11">
        <v>-9.9999999947364415E-9</v>
      </c>
      <c r="C19" s="11">
        <v>9.7435765726495815E-2</v>
      </c>
      <c r="D19" s="11">
        <v>0.90256424427350401</v>
      </c>
      <c r="E19" s="11">
        <f t="shared" si="0"/>
        <v>0.99999999999999978</v>
      </c>
      <c r="F19" s="11">
        <f t="shared" si="1"/>
        <v>6.0840000000000012E-2</v>
      </c>
      <c r="G19" s="11">
        <f t="array" ref="G19">SQRT(MMULT(B19:D19,MMULT($B$3:$D$5,TRANSPOSE(B19:D19))))</f>
        <v>0.10200032244172998</v>
      </c>
      <c r="H19" s="11">
        <f t="array" ref="H19">MMULT(B19:D19,TRANSPOSE($G$3:$I$3))</f>
        <v>6.0839990000000004E-2</v>
      </c>
      <c r="J19" s="11">
        <v>0.10200032244172998</v>
      </c>
      <c r="K19" s="11">
        <f t="shared" si="2"/>
        <v>6.0840000000000012E-2</v>
      </c>
    </row>
    <row r="20" spans="1:11" x14ac:dyDescent="0.2">
      <c r="A20" s="11" t="s">
        <v>23</v>
      </c>
      <c r="B20" s="11">
        <v>-9.9999999947364415E-9</v>
      </c>
      <c r="C20" s="11">
        <v>0.10783462612535624</v>
      </c>
      <c r="D20" s="11">
        <v>0.89216538387464372</v>
      </c>
      <c r="E20" s="11">
        <f t="shared" si="0"/>
        <v>1</v>
      </c>
      <c r="F20" s="11">
        <f t="shared" si="1"/>
        <v>6.1570000000000014E-2</v>
      </c>
      <c r="G20" s="11">
        <f t="array" ref="G20">SQRT(MMULT(B20:D20,MMULT($B$3:$D$5,TRANSPOSE(B20:D20))))</f>
        <v>0.1011658125917462</v>
      </c>
      <c r="H20" s="11">
        <f t="array" ref="H20">MMULT(B20:D20,TRANSPOSE($G$3:$I$3))</f>
        <v>6.1569990000000005E-2</v>
      </c>
      <c r="J20" s="11">
        <v>0.1011658125917462</v>
      </c>
      <c r="K20" s="11">
        <f t="shared" si="2"/>
        <v>6.1570000000000014E-2</v>
      </c>
    </row>
    <row r="21" spans="1:11" x14ac:dyDescent="0.2">
      <c r="A21" s="11" t="s">
        <v>24</v>
      </c>
      <c r="B21" s="11">
        <v>-9.9999999947364415E-9</v>
      </c>
      <c r="C21" s="11">
        <v>0.11823362897435914</v>
      </c>
      <c r="D21" s="11">
        <v>0.88176638102564087</v>
      </c>
      <c r="E21" s="11">
        <f t="shared" si="0"/>
        <v>1</v>
      </c>
      <c r="F21" s="11">
        <f t="shared" si="1"/>
        <v>6.2300000000000015E-2</v>
      </c>
      <c r="G21" s="11">
        <f t="array" ref="G21">SQRT(MMULT(B21:D21,MMULT($B$3:$D$5,TRANSPOSE(B21:D21))))</f>
        <v>0.10035802710681849</v>
      </c>
      <c r="H21" s="11">
        <f t="array" ref="H21">MMULT(B21:D21,TRANSPOSE($G$3:$I$3))</f>
        <v>6.2300000000000008E-2</v>
      </c>
      <c r="J21" s="11">
        <v>0.10035802710681849</v>
      </c>
      <c r="K21" s="11">
        <f t="shared" si="2"/>
        <v>6.2300000000000015E-2</v>
      </c>
    </row>
    <row r="22" spans="1:11" x14ac:dyDescent="0.2">
      <c r="A22" s="11" t="s">
        <v>25</v>
      </c>
      <c r="B22" s="11">
        <v>-9.9999999947364415E-9</v>
      </c>
      <c r="C22" s="11">
        <v>0.12863234692307721</v>
      </c>
      <c r="D22" s="11">
        <v>0.8713676630769227</v>
      </c>
      <c r="E22" s="11">
        <f t="shared" si="0"/>
        <v>0.99999999999999989</v>
      </c>
      <c r="F22" s="11">
        <f t="shared" si="1"/>
        <v>6.3030000000000017E-2</v>
      </c>
      <c r="G22" s="11">
        <f t="array" ref="G22">SQRT(MMULT(B22:D22,MMULT($B$3:$D$5,TRANSPOSE(B22:D22))))</f>
        <v>9.9577649256493206E-2</v>
      </c>
      <c r="H22" s="11">
        <f t="array" ref="H22">MMULT(B22:D22,TRANSPOSE($G$3:$I$3))</f>
        <v>6.3029990000000008E-2</v>
      </c>
      <c r="J22" s="11">
        <v>9.9577649256493206E-2</v>
      </c>
      <c r="K22" s="11">
        <f t="shared" si="2"/>
        <v>6.3030000000000017E-2</v>
      </c>
    </row>
    <row r="23" spans="1:11" x14ac:dyDescent="0.2">
      <c r="A23" s="11" t="s">
        <v>26</v>
      </c>
      <c r="B23" s="11">
        <v>-9.9999999947364415E-9</v>
      </c>
      <c r="C23" s="11">
        <v>0.13903120732193755</v>
      </c>
      <c r="D23" s="11">
        <v>0.86096880267806242</v>
      </c>
      <c r="E23" s="11">
        <f t="shared" si="0"/>
        <v>1</v>
      </c>
      <c r="F23" s="11">
        <f t="shared" si="1"/>
        <v>6.3760000000000011E-2</v>
      </c>
      <c r="G23" s="11">
        <f t="array" ref="G23">SQRT(MMULT(B23:D23,MMULT($B$3:$D$5,TRANSPOSE(B23:D23))))</f>
        <v>9.8825295174963329E-2</v>
      </c>
      <c r="H23" s="11">
        <f t="array" ref="H23">MMULT(B23:D23,TRANSPOSE($G$3:$I$3))</f>
        <v>6.3759990000000016E-2</v>
      </c>
      <c r="J23" s="11">
        <v>9.8825295174963329E-2</v>
      </c>
      <c r="K23" s="11">
        <f t="shared" si="2"/>
        <v>6.3760000000000011E-2</v>
      </c>
    </row>
    <row r="24" spans="1:11" x14ac:dyDescent="0.2">
      <c r="A24" s="11" t="s">
        <v>27</v>
      </c>
      <c r="B24" s="11">
        <v>-9.9999999947364415E-9</v>
      </c>
      <c r="C24" s="11">
        <v>0.14943006772079806</v>
      </c>
      <c r="D24" s="11">
        <v>0.85056994227920191</v>
      </c>
      <c r="E24" s="11">
        <f t="shared" si="0"/>
        <v>1</v>
      </c>
      <c r="F24" s="11">
        <f t="shared" si="1"/>
        <v>6.4490000000000006E-2</v>
      </c>
      <c r="G24" s="11">
        <f t="array" ref="G24">SQRT(MMULT(B24:D24,MMULT($B$3:$D$5,TRANSPOSE(B24:D24))))</f>
        <v>9.8101620747743437E-2</v>
      </c>
      <c r="H24" s="11">
        <f t="array" ref="H24">MMULT(B24:D24,TRANSPOSE($G$3:$I$3))</f>
        <v>6.4489990000000025E-2</v>
      </c>
      <c r="J24" s="11">
        <v>9.8101620747743437E-2</v>
      </c>
      <c r="K24" s="11">
        <f t="shared" si="2"/>
        <v>6.4490000000000006E-2</v>
      </c>
    </row>
    <row r="25" spans="1:11" x14ac:dyDescent="0.2">
      <c r="A25" s="11" t="s">
        <v>28</v>
      </c>
      <c r="B25" s="11">
        <v>-9.9999999947364415E-9</v>
      </c>
      <c r="C25" s="11">
        <v>0.15982892811965838</v>
      </c>
      <c r="D25" s="11">
        <v>0.84017108188034151</v>
      </c>
      <c r="E25" s="11">
        <f t="shared" si="0"/>
        <v>0.99999999999999989</v>
      </c>
      <c r="F25" s="11">
        <f t="shared" si="1"/>
        <v>6.522E-2</v>
      </c>
      <c r="G25" s="11">
        <f t="array" ref="G25">SQRT(MMULT(B25:D25,MMULT($B$3:$D$5,TRANSPOSE(B25:D25))))</f>
        <v>9.74072651920561E-2</v>
      </c>
      <c r="H25" s="11">
        <f t="array" ref="H25">MMULT(B25:D25,TRANSPOSE($G$3:$I$3))</f>
        <v>6.5219990000000005E-2</v>
      </c>
      <c r="J25" s="11">
        <v>9.74072651920561E-2</v>
      </c>
      <c r="K25" s="11">
        <f t="shared" si="2"/>
        <v>6.522E-2</v>
      </c>
    </row>
    <row r="26" spans="1:11" x14ac:dyDescent="0.2">
      <c r="A26" s="11" t="s">
        <v>29</v>
      </c>
      <c r="B26" s="11">
        <v>-9.9999999947364415E-9</v>
      </c>
      <c r="C26" s="11">
        <v>0.17022778851851869</v>
      </c>
      <c r="D26" s="11">
        <v>0.82977222148148122</v>
      </c>
      <c r="E26" s="11">
        <f t="shared" si="0"/>
        <v>0.99999999999999989</v>
      </c>
      <c r="F26" s="11">
        <f t="shared" si="1"/>
        <v>6.5949999999999995E-2</v>
      </c>
      <c r="G26" s="11">
        <f t="array" ref="G26">SQRT(MMULT(B26:D26,MMULT($B$3:$D$5,TRANSPOSE(B26:D26))))</f>
        <v>9.6742859803724102E-2</v>
      </c>
      <c r="H26" s="11">
        <f t="array" ref="H26">MMULT(B26:D26,TRANSPOSE($G$3:$I$3))</f>
        <v>6.5949990000000014E-2</v>
      </c>
      <c r="J26" s="11">
        <v>9.6742859803724102E-2</v>
      </c>
      <c r="K26" s="11">
        <f t="shared" si="2"/>
        <v>6.5949999999999995E-2</v>
      </c>
    </row>
    <row r="27" spans="1:11" x14ac:dyDescent="0.2">
      <c r="A27" s="11" t="s">
        <v>30</v>
      </c>
      <c r="B27" s="11">
        <v>-9.9999999947364415E-9</v>
      </c>
      <c r="C27" s="11">
        <v>0.18062664891737917</v>
      </c>
      <c r="D27" s="11">
        <v>0.81937336108262071</v>
      </c>
      <c r="E27" s="11">
        <f t="shared" si="0"/>
        <v>0.99999999999999989</v>
      </c>
      <c r="F27" s="11">
        <f t="shared" si="1"/>
        <v>6.6679999999999989E-2</v>
      </c>
      <c r="G27" s="11">
        <f t="array" ref="G27">SQRT(MMULT(B27:D27,MMULT($B$3:$D$5,TRANSPOSE(B27:D27))))</f>
        <v>9.6109025724728306E-2</v>
      </c>
      <c r="H27" s="11">
        <f t="array" ref="H27">MMULT(B27:D27,TRANSPOSE($G$3:$I$3))</f>
        <v>6.6679990000000022E-2</v>
      </c>
      <c r="J27" s="11">
        <v>9.6109025724728306E-2</v>
      </c>
      <c r="K27" s="11">
        <f t="shared" si="2"/>
        <v>6.6679999999999989E-2</v>
      </c>
    </row>
    <row r="28" spans="1:11" x14ac:dyDescent="0.2">
      <c r="A28" s="11" t="s">
        <v>31</v>
      </c>
      <c r="B28" s="11">
        <v>-9.9999999947364415E-9</v>
      </c>
      <c r="C28" s="11">
        <v>0.19102550931623949</v>
      </c>
      <c r="D28" s="11">
        <v>0.80897450068376042</v>
      </c>
      <c r="E28" s="11">
        <f t="shared" si="0"/>
        <v>0.99999999999999989</v>
      </c>
      <c r="F28" s="11">
        <f t="shared" si="1"/>
        <v>6.7409999999999984E-2</v>
      </c>
      <c r="G28" s="11">
        <f t="array" ref="G28">SQRT(MMULT(B28:D28,MMULT($B$3:$D$5,TRANSPOSE(B28:D28))))</f>
        <v>9.5506371622295305E-2</v>
      </c>
      <c r="H28" s="11">
        <f t="array" ref="H28">MMULT(B28:D28,TRANSPOSE($G$3:$I$3))</f>
        <v>6.7409990000000003E-2</v>
      </c>
      <c r="J28" s="11">
        <v>9.5506371622295305E-2</v>
      </c>
      <c r="K28" s="11">
        <f t="shared" si="2"/>
        <v>6.7409999999999984E-2</v>
      </c>
    </row>
    <row r="29" spans="1:11" x14ac:dyDescent="0.2">
      <c r="A29" s="11" t="s">
        <v>32</v>
      </c>
      <c r="B29" s="11">
        <v>-9.9999999947364415E-9</v>
      </c>
      <c r="C29" s="11">
        <v>0.2014243697151</v>
      </c>
      <c r="D29" s="11">
        <v>0.79857564028489991</v>
      </c>
      <c r="E29" s="11">
        <f t="shared" si="0"/>
        <v>0.99999999999999989</v>
      </c>
      <c r="F29" s="11">
        <f t="shared" si="1"/>
        <v>6.8139999999999978E-2</v>
      </c>
      <c r="G29" s="11">
        <f t="array" ref="G29">SQRT(MMULT(B29:D29,MMULT($B$3:$D$5,TRANSPOSE(B29:D29))))</f>
        <v>9.4935491293306432E-2</v>
      </c>
      <c r="H29" s="11">
        <f t="array" ref="H29">MMULT(B29:D29,TRANSPOSE($G$3:$I$3))</f>
        <v>6.8139990000000011E-2</v>
      </c>
      <c r="J29" s="11">
        <v>9.4935491293306432E-2</v>
      </c>
      <c r="K29" s="11">
        <f t="shared" si="2"/>
        <v>6.8139999999999978E-2</v>
      </c>
    </row>
    <row r="30" spans="1:11" x14ac:dyDescent="0.2">
      <c r="A30" s="11" t="s">
        <v>33</v>
      </c>
      <c r="B30" s="11">
        <v>-9.9999999947364415E-9</v>
      </c>
      <c r="C30" s="11">
        <v>0.21182323011396031</v>
      </c>
      <c r="D30" s="11">
        <v>0.78817677988603962</v>
      </c>
      <c r="E30" s="11">
        <f t="shared" si="0"/>
        <v>1</v>
      </c>
      <c r="F30" s="11">
        <f t="shared" si="1"/>
        <v>6.8869999999999973E-2</v>
      </c>
      <c r="G30" s="11">
        <f t="array" ref="G30">SQRT(MMULT(B30:D30,MMULT($B$3:$D$5,TRANSPOSE(B30:D30))))</f>
        <v>9.4396961210056737E-2</v>
      </c>
      <c r="H30" s="11">
        <f t="array" ref="H30">MMULT(B30:D30,TRANSPOSE($G$3:$I$3))</f>
        <v>6.8869990000000006E-2</v>
      </c>
      <c r="J30" s="11">
        <v>9.4396961210056737E-2</v>
      </c>
      <c r="K30" s="11">
        <f t="shared" si="2"/>
        <v>6.8869999999999973E-2</v>
      </c>
    </row>
    <row r="31" spans="1:11" x14ac:dyDescent="0.2">
      <c r="A31" s="11" t="s">
        <v>34</v>
      </c>
      <c r="B31" s="11">
        <v>-9.9999999947364415E-9</v>
      </c>
      <c r="C31" s="11">
        <v>0.2222220905128206</v>
      </c>
      <c r="D31" s="11">
        <v>0.77777791948717934</v>
      </c>
      <c r="E31" s="11">
        <f t="shared" si="0"/>
        <v>1</v>
      </c>
      <c r="F31" s="11">
        <f t="shared" si="1"/>
        <v>6.9599999999999967E-2</v>
      </c>
      <c r="G31" s="11">
        <f t="array" ref="G31">SQRT(MMULT(B31:D31,MMULT($B$3:$D$5,TRANSPOSE(B31:D31))))</f>
        <v>9.3891338025562626E-2</v>
      </c>
      <c r="H31" s="11">
        <f t="array" ref="H31">MMULT(B31:D31,TRANSPOSE($G$3:$I$3))</f>
        <v>6.959999E-2</v>
      </c>
      <c r="J31" s="11">
        <v>9.3891338025562626E-2</v>
      </c>
      <c r="K31" s="11">
        <f t="shared" si="2"/>
        <v>6.9599999999999967E-2</v>
      </c>
    </row>
    <row r="32" spans="1:11" x14ac:dyDescent="0.2">
      <c r="A32" s="11" t="s">
        <v>35</v>
      </c>
      <c r="B32" s="11">
        <v>-9.9999999947364415E-9</v>
      </c>
      <c r="C32" s="11">
        <v>0.23262095091168111</v>
      </c>
      <c r="D32" s="11">
        <v>0.76737905908831883</v>
      </c>
      <c r="E32" s="11">
        <f t="shared" si="0"/>
        <v>1</v>
      </c>
      <c r="F32" s="11">
        <f t="shared" si="1"/>
        <v>7.0329999999999962E-2</v>
      </c>
      <c r="G32" s="11">
        <f t="array" ref="G32">SQRT(MMULT(B32:D32,MMULT($B$3:$D$5,TRANSPOSE(B32:D32))))</f>
        <v>9.3419156058669087E-2</v>
      </c>
      <c r="H32" s="11">
        <f t="array" ref="H32">MMULT(B32:D32,TRANSPOSE($G$3:$I$3))</f>
        <v>7.0329990000000009E-2</v>
      </c>
      <c r="J32" s="11">
        <v>9.3419156058669087E-2</v>
      </c>
      <c r="K32" s="11">
        <f t="shared" si="2"/>
        <v>7.0329999999999962E-2</v>
      </c>
    </row>
    <row r="33" spans="1:11" x14ac:dyDescent="0.2">
      <c r="A33" s="11" t="s">
        <v>36</v>
      </c>
      <c r="B33" s="11">
        <v>-9.9999999947364415E-9</v>
      </c>
      <c r="C33" s="11">
        <v>0.2430198113105414</v>
      </c>
      <c r="D33" s="11">
        <v>0.75698019868945854</v>
      </c>
      <c r="E33" s="11">
        <f t="shared" si="0"/>
        <v>1</v>
      </c>
      <c r="F33" s="11">
        <f t="shared" si="1"/>
        <v>7.1059999999999957E-2</v>
      </c>
      <c r="G33" s="11">
        <f t="array" ref="G33">SQRT(MMULT(B33:D33,MMULT($B$3:$D$5,TRANSPOSE(B33:D33))))</f>
        <v>9.2980924781072644E-2</v>
      </c>
      <c r="H33" s="11">
        <f t="array" ref="H33">MMULT(B33:D33,TRANSPOSE($G$3:$I$3))</f>
        <v>7.1059990000000003E-2</v>
      </c>
      <c r="J33" s="11">
        <v>9.2980924781072644E-2</v>
      </c>
      <c r="K33" s="11">
        <f t="shared" si="2"/>
        <v>7.1059999999999957E-2</v>
      </c>
    </row>
    <row r="34" spans="1:11" x14ac:dyDescent="0.2">
      <c r="A34" s="11" t="s">
        <v>37</v>
      </c>
      <c r="B34" s="11">
        <v>-9.9999999947364415E-9</v>
      </c>
      <c r="C34" s="11">
        <v>0.25341867170940191</v>
      </c>
      <c r="D34" s="11">
        <v>0.74658133829059803</v>
      </c>
      <c r="E34" s="11">
        <f t="shared" si="0"/>
        <v>1</v>
      </c>
      <c r="F34" s="11">
        <f t="shared" si="1"/>
        <v>7.1789999999999951E-2</v>
      </c>
      <c r="G34" s="11">
        <f t="array" ref="G34">SQRT(MMULT(B34:D34,MMULT($B$3:$D$5,TRANSPOSE(B34:D34))))</f>
        <v>9.2577126329990447E-2</v>
      </c>
      <c r="H34" s="11">
        <f t="array" ref="H34">MMULT(B34:D34,TRANSPOSE($G$3:$I$3))</f>
        <v>7.1789990000000012E-2</v>
      </c>
      <c r="J34" s="11">
        <v>9.2577126329990447E-2</v>
      </c>
      <c r="K34" s="11">
        <f t="shared" si="2"/>
        <v>7.1789999999999951E-2</v>
      </c>
    </row>
    <row r="35" spans="1:11" x14ac:dyDescent="0.2">
      <c r="A35" s="11" t="s">
        <v>38</v>
      </c>
      <c r="B35" s="11">
        <v>-9.9999999947364415E-9</v>
      </c>
      <c r="C35" s="11">
        <v>0.26381753210826087</v>
      </c>
      <c r="D35" s="11">
        <v>0.73618247789173907</v>
      </c>
      <c r="E35" s="11">
        <f t="shared" si="0"/>
        <v>1</v>
      </c>
      <c r="F35" s="11">
        <f t="shared" si="1"/>
        <v>7.2519999999999946E-2</v>
      </c>
      <c r="G35" s="11">
        <f t="array" ref="G35">SQRT(MMULT(B35:D35,MMULT($B$3:$D$5,TRANSPOSE(B35:D35))))</f>
        <v>9.220821307150763E-2</v>
      </c>
      <c r="H35" s="11">
        <f t="array" ref="H35">MMULT(B35:D35,TRANSPOSE($G$3:$I$3))</f>
        <v>7.2519989999999909E-2</v>
      </c>
      <c r="J35" s="11">
        <v>9.220821307150763E-2</v>
      </c>
      <c r="K35" s="11">
        <f t="shared" si="2"/>
        <v>7.2519999999999946E-2</v>
      </c>
    </row>
    <row r="36" spans="1:11" x14ac:dyDescent="0.2">
      <c r="A36" s="11" t="s">
        <v>39</v>
      </c>
      <c r="B36" s="11">
        <v>-9.9999999947364415E-9</v>
      </c>
      <c r="C36" s="11">
        <v>0.27421639250712115</v>
      </c>
      <c r="D36" s="11">
        <v>0.72578361749287867</v>
      </c>
      <c r="E36" s="11">
        <f t="shared" si="0"/>
        <v>0.99999999999999978</v>
      </c>
      <c r="F36" s="11">
        <f t="shared" si="1"/>
        <v>7.324999999999994E-2</v>
      </c>
      <c r="G36" s="11">
        <f t="array" ref="G36">SQRT(MMULT(B36:D36,MMULT($B$3:$D$5,TRANSPOSE(B36:D36))))</f>
        <v>9.1874605240556462E-2</v>
      </c>
      <c r="H36" s="11">
        <f t="array" ref="H36">MMULT(B36:D36,TRANSPOSE($G$3:$I$3))</f>
        <v>7.3249989999999904E-2</v>
      </c>
      <c r="J36" s="11">
        <v>9.1874605240556462E-2</v>
      </c>
      <c r="K36" s="11">
        <f t="shared" si="2"/>
        <v>7.324999999999994E-2</v>
      </c>
    </row>
    <row r="37" spans="1:11" x14ac:dyDescent="0.2">
      <c r="A37" s="11" t="s">
        <v>40</v>
      </c>
      <c r="B37" s="11">
        <v>-9.9999999947364415E-9</v>
      </c>
      <c r="C37" s="11">
        <v>0.2846152529059815</v>
      </c>
      <c r="D37" s="11">
        <v>0.71538475709401839</v>
      </c>
      <c r="E37" s="11">
        <f t="shared" si="0"/>
        <v>0.99999999999999989</v>
      </c>
      <c r="F37" s="11">
        <f t="shared" si="1"/>
        <v>7.3979999999999935E-2</v>
      </c>
      <c r="G37" s="11">
        <f t="array" ref="G37">SQRT(MMULT(B37:D37,MMULT($B$3:$D$5,TRANSPOSE(B37:D37))))</f>
        <v>9.1576688683974755E-2</v>
      </c>
      <c r="H37" s="11">
        <f t="array" ref="H37">MMULT(B37:D37,TRANSPOSE($G$3:$I$3))</f>
        <v>7.3979989999999898E-2</v>
      </c>
      <c r="J37" s="11">
        <v>9.1576688683974755E-2</v>
      </c>
      <c r="K37" s="11">
        <f t="shared" si="2"/>
        <v>7.3979999999999935E-2</v>
      </c>
    </row>
    <row r="38" spans="1:11" x14ac:dyDescent="0.2">
      <c r="A38" s="11" t="s">
        <v>41</v>
      </c>
      <c r="B38" s="11">
        <v>-9.9999999947364415E-9</v>
      </c>
      <c r="C38" s="11">
        <v>0.29501411330484201</v>
      </c>
      <c r="D38" s="11">
        <v>0.70498589669515788</v>
      </c>
      <c r="E38" s="11">
        <f t="shared" si="0"/>
        <v>0.99999999999999989</v>
      </c>
      <c r="F38" s="11">
        <f t="shared" si="1"/>
        <v>7.4709999999999929E-2</v>
      </c>
      <c r="G38" s="11">
        <f t="array" ref="G38">SQRT(MMULT(B38:D38,MMULT($B$3:$D$5,TRANSPOSE(B38:D38))))</f>
        <v>9.1314812733100312E-2</v>
      </c>
      <c r="H38" s="11">
        <f t="array" ref="H38">MMULT(B38:D38,TRANSPOSE($G$3:$I$3))</f>
        <v>7.4709989999999907E-2</v>
      </c>
      <c r="J38" s="11">
        <v>9.1314812733100312E-2</v>
      </c>
      <c r="K38" s="11">
        <f t="shared" si="2"/>
        <v>7.4709999999999929E-2</v>
      </c>
    </row>
    <row r="39" spans="1:11" x14ac:dyDescent="0.2">
      <c r="A39" s="11" t="s">
        <v>42</v>
      </c>
      <c r="B39" s="11">
        <v>-9.9999999947364415E-9</v>
      </c>
      <c r="C39" s="11">
        <v>0.30541297370370235</v>
      </c>
      <c r="D39" s="11">
        <v>0.69458703629629759</v>
      </c>
      <c r="E39" s="11">
        <f t="shared" si="0"/>
        <v>1</v>
      </c>
      <c r="F39" s="11">
        <f t="shared" si="1"/>
        <v>7.5439999999999924E-2</v>
      </c>
      <c r="G39" s="11">
        <f t="array" ref="G39">SQRT(MMULT(B39:D39,MMULT($B$3:$D$5,TRANSPOSE(B39:D39))))</f>
        <v>9.1089288231859286E-2</v>
      </c>
      <c r="H39" s="11">
        <f t="array" ref="H39">MMULT(B39:D39,TRANSPOSE($G$3:$I$3))</f>
        <v>7.5439989999999901E-2</v>
      </c>
      <c r="J39" s="11">
        <v>9.1089288231859286E-2</v>
      </c>
      <c r="K39" s="11">
        <f t="shared" si="2"/>
        <v>7.5439999999999924E-2</v>
      </c>
    </row>
    <row r="40" spans="1:11" x14ac:dyDescent="0.2">
      <c r="A40" s="11" t="s">
        <v>43</v>
      </c>
      <c r="B40" s="11">
        <v>-9.9999999947364415E-9</v>
      </c>
      <c r="C40" s="11">
        <v>0.31581183410256286</v>
      </c>
      <c r="D40" s="11">
        <v>0.68418817589743708</v>
      </c>
      <c r="E40" s="11">
        <f t="shared" si="0"/>
        <v>1</v>
      </c>
      <c r="F40" s="11">
        <f t="shared" si="1"/>
        <v>7.6169999999999918E-2</v>
      </c>
      <c r="G40" s="11">
        <f t="array" ref="G40">SQRT(MMULT(B40:D40,MMULT($B$3:$D$5,TRANSPOSE(B40:D40))))</f>
        <v>9.0900385745266793E-2</v>
      </c>
      <c r="H40" s="11">
        <f t="array" ref="H40">MMULT(B40:D40,TRANSPOSE($G$3:$I$3))</f>
        <v>7.616998999999991E-2</v>
      </c>
      <c r="J40" s="11">
        <v>9.0900385745266793E-2</v>
      </c>
      <c r="K40" s="11">
        <f t="shared" si="2"/>
        <v>7.6169999999999918E-2</v>
      </c>
    </row>
    <row r="41" spans="1:11" x14ac:dyDescent="0.2">
      <c r="A41" s="11" t="s">
        <v>44</v>
      </c>
      <c r="B41" s="11">
        <v>4.1993476667909627E-3</v>
      </c>
      <c r="C41" s="11">
        <v>0.32170027338629453</v>
      </c>
      <c r="D41" s="11">
        <v>0.67410037894691432</v>
      </c>
      <c r="E41" s="11">
        <f t="shared" si="0"/>
        <v>0.99999999999999978</v>
      </c>
      <c r="F41" s="11">
        <f t="shared" si="1"/>
        <v>7.6899999999999913E-2</v>
      </c>
      <c r="G41" s="11">
        <f t="array" ref="G41">SQRT(MMULT(B41:D41,MMULT($B$3:$D$5,TRANSPOSE(B41:D41))))</f>
        <v>9.0746538653681069E-2</v>
      </c>
      <c r="H41" s="11">
        <f t="array" ref="H41">MMULT(B41:D41,TRANSPOSE($G$3:$I$3))</f>
        <v>7.6899990005793908E-2</v>
      </c>
      <c r="J41" s="11">
        <v>9.0746538653681069E-2</v>
      </c>
      <c r="K41" s="11">
        <f t="shared" si="2"/>
        <v>7.6899999999999913E-2</v>
      </c>
    </row>
    <row r="42" spans="1:11" x14ac:dyDescent="0.2">
      <c r="A42" s="11" t="s">
        <v>45</v>
      </c>
      <c r="B42" s="11">
        <v>1.1407525544815628E-2</v>
      </c>
      <c r="C42" s="11">
        <v>0.32435701694672653</v>
      </c>
      <c r="D42" s="11">
        <v>0.6642354575084578</v>
      </c>
      <c r="E42" s="11">
        <f t="shared" si="0"/>
        <v>1</v>
      </c>
      <c r="F42" s="11">
        <f t="shared" si="1"/>
        <v>7.7629999999999907E-2</v>
      </c>
      <c r="G42" s="11">
        <f t="array" ref="G42">SQRT(MMULT(B42:D42,MMULT($B$3:$D$5,TRANSPOSE(B42:D42))))</f>
        <v>9.0620052448112873E-2</v>
      </c>
      <c r="H42" s="11">
        <f t="array" ref="H42">MMULT(B42:D42,TRANSPOSE($G$3:$I$3))</f>
        <v>7.7629990015739309E-2</v>
      </c>
      <c r="J42" s="11">
        <v>9.0620052448112873E-2</v>
      </c>
      <c r="K42" s="11">
        <f t="shared" si="2"/>
        <v>7.7629999999999907E-2</v>
      </c>
    </row>
    <row r="43" spans="1:11" x14ac:dyDescent="0.2">
      <c r="A43" s="11" t="s">
        <v>46</v>
      </c>
      <c r="B43" s="11">
        <v>1.8615707527162059E-2</v>
      </c>
      <c r="C43" s="11">
        <v>0.32701375609881322</v>
      </c>
      <c r="D43" s="11">
        <v>0.65437053637402465</v>
      </c>
      <c r="E43" s="11">
        <f t="shared" si="0"/>
        <v>1</v>
      </c>
      <c r="F43" s="11">
        <f t="shared" si="1"/>
        <v>7.8359999999999902E-2</v>
      </c>
      <c r="G43" s="11">
        <f t="array" ref="G43">SQRT(MMULT(B43:D43,MMULT($B$3:$D$5,TRANSPOSE(B43:D43))))</f>
        <v>9.0520117858068405E-2</v>
      </c>
      <c r="H43" s="11">
        <f t="array" ref="H43">MMULT(B43:D43,TRANSPOSE($G$3:$I$3))</f>
        <v>7.8359990025684695E-2</v>
      </c>
      <c r="J43" s="11">
        <v>9.0520117858068405E-2</v>
      </c>
      <c r="K43" s="11">
        <f t="shared" si="2"/>
        <v>7.8359999999999902E-2</v>
      </c>
    </row>
    <row r="44" spans="1:11" x14ac:dyDescent="0.2">
      <c r="A44" s="11" t="s">
        <v>47</v>
      </c>
      <c r="B44" s="11">
        <v>2.5823896682675963E-2</v>
      </c>
      <c r="C44" s="11">
        <v>0.32967048749638084</v>
      </c>
      <c r="D44" s="11">
        <v>0.64450561582094312</v>
      </c>
      <c r="E44" s="11">
        <f t="shared" si="0"/>
        <v>1</v>
      </c>
      <c r="F44" s="11">
        <f t="shared" si="1"/>
        <v>7.9089999999999896E-2</v>
      </c>
      <c r="G44" s="11">
        <f t="array" ref="G44">SQRT(MMULT(B44:D44,MMULT($B$3:$D$5,TRANSPOSE(B44:D44))))</f>
        <v>9.0446822894426668E-2</v>
      </c>
      <c r="H44" s="11">
        <f t="array" ref="H44">MMULT(B44:D44,TRANSPOSE($G$3:$I$3))</f>
        <v>7.9089990032119695E-2</v>
      </c>
      <c r="J44" s="11">
        <v>9.0446822894426668E-2</v>
      </c>
      <c r="K44" s="11">
        <f t="shared" si="2"/>
        <v>7.9089999999999896E-2</v>
      </c>
    </row>
    <row r="45" spans="1:11" x14ac:dyDescent="0.2">
      <c r="A45" s="11" t="s">
        <v>48</v>
      </c>
      <c r="B45" s="11">
        <v>3.3032067318534135E-2</v>
      </c>
      <c r="C45" s="11">
        <v>0.33232723863298813</v>
      </c>
      <c r="D45" s="11">
        <v>0.63464069404847767</v>
      </c>
      <c r="E45" s="11">
        <f t="shared" si="0"/>
        <v>1</v>
      </c>
      <c r="F45" s="11">
        <f t="shared" si="1"/>
        <v>7.9819999999999891E-2</v>
      </c>
      <c r="G45" s="11">
        <f t="array" ref="G45">SQRT(MMULT(B45:D45,MMULT($B$3:$D$5,TRANSPOSE(B45:D45))))</f>
        <v>9.0400232354013677E-2</v>
      </c>
      <c r="H45" s="11">
        <f t="array" ref="H45">MMULT(B45:D45,TRANSPOSE($G$3:$I$3))</f>
        <v>7.9819990027853227E-2</v>
      </c>
      <c r="J45" s="11">
        <v>9.0400232354013677E-2</v>
      </c>
      <c r="K45" s="11">
        <f t="shared" si="2"/>
        <v>7.9819999999999891E-2</v>
      </c>
    </row>
    <row r="46" spans="1:11" x14ac:dyDescent="0.2">
      <c r="A46" s="11" t="s">
        <v>49</v>
      </c>
      <c r="B46" s="11">
        <v>4.0240247183657492E-2</v>
      </c>
      <c r="C46" s="11">
        <v>0.33498397985668082</v>
      </c>
      <c r="D46" s="11">
        <v>0.62477577295966147</v>
      </c>
      <c r="E46" s="11">
        <f t="shared" si="0"/>
        <v>0.99999999999999978</v>
      </c>
      <c r="F46" s="11">
        <f t="shared" si="1"/>
        <v>8.0549999999999886E-2</v>
      </c>
      <c r="G46" s="11">
        <f t="array" ref="G46">SQRT(MMULT(B46:D46,MMULT($B$3:$D$5,TRANSPOSE(B46:D46))))</f>
        <v>9.0380387533470594E-2</v>
      </c>
      <c r="H46" s="11">
        <f t="array" ref="H46">MMULT(B46:D46,TRANSPOSE($G$3:$I$3))</f>
        <v>8.0549990023586759E-2</v>
      </c>
      <c r="J46" s="11">
        <v>9.0380387533470594E-2</v>
      </c>
      <c r="K46" s="11">
        <f t="shared" si="2"/>
        <v>8.0549999999999886E-2</v>
      </c>
    </row>
    <row r="47" spans="1:11" x14ac:dyDescent="0.2">
      <c r="A47" s="11" t="s">
        <v>50</v>
      </c>
      <c r="B47" s="11">
        <v>4.7448427053612026E-2</v>
      </c>
      <c r="C47" s="11">
        <v>0.33764072107518456</v>
      </c>
      <c r="D47" s="11">
        <v>0.61491085187120342</v>
      </c>
      <c r="E47" s="11">
        <f t="shared" si="0"/>
        <v>1</v>
      </c>
      <c r="F47" s="11">
        <f t="shared" si="1"/>
        <v>8.127999999999988E-2</v>
      </c>
      <c r="G47" s="11">
        <f t="array" ref="G47">SQRT(MMULT(B47:D47,MMULT($B$3:$D$5,TRANSPOSE(B47:D47))))</f>
        <v>9.0387306049122776E-2</v>
      </c>
      <c r="H47" s="11">
        <f t="array" ref="H47">MMULT(B47:D47,TRANSPOSE($G$3:$I$3))</f>
        <v>8.1279990019320292E-2</v>
      </c>
      <c r="J47" s="11">
        <v>9.0387306049122776E-2</v>
      </c>
      <c r="K47" s="11">
        <f t="shared" si="2"/>
        <v>8.127999999999988E-2</v>
      </c>
    </row>
    <row r="48" spans="1:11" x14ac:dyDescent="0.2">
      <c r="A48" s="11" t="s">
        <v>51</v>
      </c>
      <c r="B48" s="11">
        <v>5.4656654689271784E-2</v>
      </c>
      <c r="C48" s="11">
        <v>0.34029741098978372</v>
      </c>
      <c r="D48" s="11">
        <v>0.60504593432094445</v>
      </c>
      <c r="E48" s="11">
        <f t="shared" si="0"/>
        <v>1</v>
      </c>
      <c r="F48" s="11">
        <f t="shared" si="1"/>
        <v>8.2009999999999875E-2</v>
      </c>
      <c r="G48" s="11">
        <f t="array" ref="G48">SQRT(MMULT(B48:D48,MMULT($B$3:$D$5,TRANSPOSE(B48:D48))))</f>
        <v>9.0420981757621241E-2</v>
      </c>
      <c r="H48" s="11">
        <f t="array" ref="H48">MMULT(B48:D48,TRANSPOSE($G$3:$I$3))</f>
        <v>8.2009990015053907E-2</v>
      </c>
      <c r="J48" s="11">
        <v>9.0420981757621241E-2</v>
      </c>
      <c r="K48" s="11">
        <f t="shared" si="2"/>
        <v>8.2009999999999875E-2</v>
      </c>
    </row>
    <row r="49" spans="1:11" x14ac:dyDescent="0.2">
      <c r="A49" s="11" t="s">
        <v>52</v>
      </c>
      <c r="B49" s="11">
        <v>6.1864786848432371E-2</v>
      </c>
      <c r="C49" s="11">
        <v>0.34295420345321331</v>
      </c>
      <c r="D49" s="11">
        <v>0.59518100969835419</v>
      </c>
      <c r="E49" s="11">
        <f t="shared" si="0"/>
        <v>0.99999999999999989</v>
      </c>
      <c r="F49" s="11">
        <f t="shared" si="1"/>
        <v>8.2739999999999869E-2</v>
      </c>
      <c r="G49" s="11">
        <f t="array" ref="G49">SQRT(MMULT(B49:D49,MMULT($B$3:$D$5,TRANSPOSE(B49:D49))))</f>
        <v>9.0481384783186528E-2</v>
      </c>
      <c r="H49" s="11">
        <f t="array" ref="H49">MMULT(B49:D49,TRANSPOSE($G$3:$I$3))</f>
        <v>8.273999001078737E-2</v>
      </c>
      <c r="J49" s="11">
        <v>9.0481384783186528E-2</v>
      </c>
      <c r="K49" s="11">
        <f t="shared" si="2"/>
        <v>8.2739999999999869E-2</v>
      </c>
    </row>
    <row r="50" spans="1:11" x14ac:dyDescent="0.2">
      <c r="A50" s="11" t="s">
        <v>53</v>
      </c>
      <c r="B50" s="11">
        <v>6.9072966528002697E-2</v>
      </c>
      <c r="C50" s="11">
        <v>0.34561094487620397</v>
      </c>
      <c r="D50" s="11">
        <v>0.58531608859579332</v>
      </c>
      <c r="E50" s="11">
        <f t="shared" si="0"/>
        <v>1</v>
      </c>
      <c r="F50" s="11">
        <f t="shared" si="1"/>
        <v>8.3469999999999864E-2</v>
      </c>
      <c r="G50" s="11">
        <f t="array" ref="G50">SQRT(MMULT(B50:D50,MMULT($B$3:$D$5,TRANSPOSE(B50:D50))))</f>
        <v>9.0568461649908116E-2</v>
      </c>
      <c r="H50" s="11">
        <f t="array" ref="H50">MMULT(B50:D50,TRANSPOSE($G$3:$I$3))</f>
        <v>8.346999000652093E-2</v>
      </c>
      <c r="J50" s="11">
        <v>9.0568461649908116E-2</v>
      </c>
      <c r="K50" s="11">
        <f t="shared" si="2"/>
        <v>8.3469999999999864E-2</v>
      </c>
    </row>
    <row r="51" spans="1:11" x14ac:dyDescent="0.2">
      <c r="A51" s="11" t="s">
        <v>54</v>
      </c>
      <c r="B51" s="11">
        <v>7.6281152410847819E-2</v>
      </c>
      <c r="C51" s="11">
        <v>0.34826767963641792</v>
      </c>
      <c r="D51" s="11">
        <v>0.57545116795273421</v>
      </c>
      <c r="E51" s="11">
        <f t="shared" si="0"/>
        <v>1</v>
      </c>
      <c r="F51" s="11">
        <f t="shared" si="1"/>
        <v>8.4199999999999858E-2</v>
      </c>
      <c r="G51" s="11">
        <f t="array" ref="G51">SQRT(MMULT(B51:D51,MMULT($B$3:$D$5,TRANSPOSE(B51:D51))))</f>
        <v>9.0682135517727414E-2</v>
      </c>
      <c r="H51" s="11">
        <f t="array" ref="H51">MMULT(B51:D51,TRANSPOSE($G$3:$I$3))</f>
        <v>8.4199990002254463E-2</v>
      </c>
      <c r="J51" s="11">
        <v>9.0682135517727414E-2</v>
      </c>
      <c r="K51" s="11">
        <f t="shared" si="2"/>
        <v>8.4199999999999858E-2</v>
      </c>
    </row>
    <row r="52" spans="1:11" x14ac:dyDescent="0.2">
      <c r="A52" s="11" t="s">
        <v>55</v>
      </c>
      <c r="B52" s="11">
        <v>8.3489425050402119E-2</v>
      </c>
      <c r="C52" s="11">
        <v>0.35092446367793978</v>
      </c>
      <c r="D52" s="11">
        <v>0.56558611127165803</v>
      </c>
      <c r="E52" s="11">
        <f t="shared" si="0"/>
        <v>1</v>
      </c>
      <c r="F52" s="11">
        <f t="shared" si="1"/>
        <v>8.4929999999999853E-2</v>
      </c>
      <c r="G52" s="11">
        <f t="array" ref="G52">SQRT(MMULT(B52:D52,MMULT($B$3:$D$5,TRANSPOSE(B52:D52))))</f>
        <v>9.0822308621009484E-2</v>
      </c>
      <c r="H52" s="11">
        <f t="array" ref="H52">MMULT(B52:D52,TRANSPOSE($G$3:$I$3))</f>
        <v>8.4929999998991687E-2</v>
      </c>
      <c r="J52" s="11">
        <v>9.0822308621009484E-2</v>
      </c>
      <c r="K52" s="11">
        <f t="shared" si="2"/>
        <v>8.4929999999999853E-2</v>
      </c>
    </row>
    <row r="53" spans="1:11" x14ac:dyDescent="0.2">
      <c r="A53" s="11" t="s">
        <v>56</v>
      </c>
      <c r="B53" s="11">
        <v>9.0697604968764362E-2</v>
      </c>
      <c r="C53" s="11">
        <v>0.35358120494452094</v>
      </c>
      <c r="D53" s="11">
        <v>0.55572119008671483</v>
      </c>
      <c r="E53" s="11">
        <f t="shared" si="0"/>
        <v>1</v>
      </c>
      <c r="F53" s="11">
        <f t="shared" si="1"/>
        <v>8.5659999999999847E-2</v>
      </c>
      <c r="G53" s="11">
        <f t="array" ref="G53">SQRT(MMULT(B53:D53,MMULT($B$3:$D$5,TRANSPOSE(B53:D53))))</f>
        <v>9.0988854660481122E-2</v>
      </c>
      <c r="H53" s="11">
        <f t="array" ref="H53">MMULT(B53:D53,TRANSPOSE($G$3:$I$3))</f>
        <v>8.5660000001750211E-2</v>
      </c>
      <c r="J53" s="11">
        <v>9.0988854660481122E-2</v>
      </c>
      <c r="K53" s="11">
        <f t="shared" si="2"/>
        <v>8.5659999999999847E-2</v>
      </c>
    </row>
    <row r="54" spans="1:11" x14ac:dyDescent="0.2">
      <c r="A54" s="11" t="s">
        <v>57</v>
      </c>
      <c r="B54" s="11">
        <v>9.7905784786543132E-2</v>
      </c>
      <c r="C54" s="11">
        <v>0.35623794621906524</v>
      </c>
      <c r="D54" s="11">
        <v>0.54585626899439166</v>
      </c>
      <c r="E54" s="11">
        <f t="shared" si="0"/>
        <v>1</v>
      </c>
      <c r="F54" s="11">
        <f t="shared" si="1"/>
        <v>8.6389999999999842E-2</v>
      </c>
      <c r="G54" s="11">
        <f t="array" ref="G54">SQRT(MMULT(B54:D54,MMULT($B$3:$D$5,TRANSPOSE(B54:D54))))</f>
        <v>9.1181630849700671E-2</v>
      </c>
      <c r="H54" s="11">
        <f t="array" ref="H54">MMULT(B54:D54,TRANSPOSE($G$3:$I$3))</f>
        <v>8.638999999748373E-2</v>
      </c>
      <c r="J54" s="11">
        <v>9.1181630849700671E-2</v>
      </c>
      <c r="K54" s="11">
        <f t="shared" si="2"/>
        <v>8.6389999999999842E-2</v>
      </c>
    </row>
    <row r="55" spans="1:11" x14ac:dyDescent="0.2">
      <c r="A55" s="11" t="s">
        <v>58</v>
      </c>
      <c r="B55" s="11">
        <v>0.10511396469373703</v>
      </c>
      <c r="C55" s="11">
        <v>0.35889468739757108</v>
      </c>
      <c r="D55" s="11">
        <v>0.53599134790869185</v>
      </c>
      <c r="E55" s="11">
        <f t="shared" si="0"/>
        <v>1</v>
      </c>
      <c r="F55" s="11">
        <f t="shared" si="1"/>
        <v>8.7119999999999836E-2</v>
      </c>
      <c r="G55" s="11">
        <f t="array" ref="G55">SQRT(MMULT(B55:D55,MMULT($B$3:$D$5,TRANSPOSE(B55:D55))))</f>
        <v>9.1400471221284224E-2</v>
      </c>
      <c r="H55" s="11">
        <f t="array" ref="H55">MMULT(B55:D55,TRANSPOSE($G$3:$I$3))</f>
        <v>8.7119999993217262E-2</v>
      </c>
      <c r="J55" s="11">
        <v>9.1400471221284224E-2</v>
      </c>
      <c r="K55" s="11">
        <f t="shared" si="2"/>
        <v>8.7119999999999836E-2</v>
      </c>
    </row>
    <row r="56" spans="1:11" x14ac:dyDescent="0.2">
      <c r="A56" s="11" t="s">
        <v>59</v>
      </c>
      <c r="B56" s="11">
        <v>0.1123221449417193</v>
      </c>
      <c r="C56" s="11">
        <v>0.36155142855314981</v>
      </c>
      <c r="D56" s="11">
        <v>0.52612642650513075</v>
      </c>
      <c r="E56" s="11">
        <f t="shared" si="0"/>
        <v>0.99999999999999989</v>
      </c>
      <c r="F56" s="11">
        <f t="shared" si="1"/>
        <v>8.7849999999999831E-2</v>
      </c>
      <c r="G56" s="11">
        <f t="array" ref="G56">SQRT(MMULT(B56:D56,MMULT($B$3:$D$5,TRANSPOSE(B56:D56))))</f>
        <v>9.1645189067234192E-2</v>
      </c>
      <c r="H56" s="11">
        <f t="array" ref="H56">MMULT(B56:D56,TRANSPOSE($G$3:$I$3))</f>
        <v>8.785000001303675E-2</v>
      </c>
      <c r="J56" s="11">
        <v>9.1645189067234192E-2</v>
      </c>
      <c r="K56" s="11">
        <f t="shared" si="2"/>
        <v>8.7849999999999831E-2</v>
      </c>
    </row>
    <row r="57" spans="1:11" x14ac:dyDescent="0.2">
      <c r="A57" s="11" t="s">
        <v>60</v>
      </c>
      <c r="B57" s="11">
        <v>0.11953032463530018</v>
      </c>
      <c r="C57" s="11">
        <v>0.36420816996109162</v>
      </c>
      <c r="D57" s="11">
        <v>0.51626150540360816</v>
      </c>
      <c r="E57" s="11">
        <f t="shared" si="0"/>
        <v>1</v>
      </c>
      <c r="F57" s="11">
        <f t="shared" si="1"/>
        <v>8.8579999999999826E-2</v>
      </c>
      <c r="G57" s="11">
        <f t="array" ref="G57">SQRT(MMULT(B57:D57,MMULT($B$3:$D$5,TRANSPOSE(B57:D57))))</f>
        <v>9.1915577681609711E-2</v>
      </c>
      <c r="H57" s="11">
        <f t="array" ref="H57">MMULT(B57:D57,TRANSPOSE($G$3:$I$3))</f>
        <v>8.8580000008770254E-2</v>
      </c>
      <c r="J57" s="11">
        <v>9.1915577681609711E-2</v>
      </c>
      <c r="K57" s="11">
        <f t="shared" si="2"/>
        <v>8.8579999999999826E-2</v>
      </c>
    </row>
    <row r="58" spans="1:11" x14ac:dyDescent="0.2">
      <c r="A58" s="11" t="s">
        <v>61</v>
      </c>
      <c r="B58" s="11">
        <v>0.12673850465487818</v>
      </c>
      <c r="C58" s="11">
        <v>0.36686491101888885</v>
      </c>
      <c r="D58" s="11">
        <v>0.50639658432623291</v>
      </c>
      <c r="E58" s="11">
        <f t="shared" si="0"/>
        <v>1</v>
      </c>
      <c r="F58" s="11">
        <f t="shared" si="1"/>
        <v>8.930999999999982E-2</v>
      </c>
      <c r="G58" s="11">
        <f t="array" ref="G58">SQRT(MMULT(B58:D58,MMULT($B$3:$D$5,TRANSPOSE(B58:D58))))</f>
        <v>9.221141125151347E-2</v>
      </c>
      <c r="H58" s="11">
        <f t="array" ref="H58">MMULT(B58:D58,TRANSPOSE($G$3:$I$3))</f>
        <v>8.9310000004503814E-2</v>
      </c>
      <c r="J58" s="11">
        <v>9.221141125151347E-2</v>
      </c>
      <c r="K58" s="11">
        <f t="shared" si="2"/>
        <v>8.930999999999982E-2</v>
      </c>
    </row>
    <row r="59" spans="1:11" x14ac:dyDescent="0.2">
      <c r="A59" s="11" t="s">
        <v>62</v>
      </c>
      <c r="B59" s="11">
        <v>0.13394668441948235</v>
      </c>
      <c r="C59" s="11">
        <v>0.36952165235054674</v>
      </c>
      <c r="D59" s="11">
        <v>0.49653166322997089</v>
      </c>
      <c r="E59" s="11">
        <f t="shared" si="0"/>
        <v>1</v>
      </c>
      <c r="F59" s="11">
        <f t="shared" si="1"/>
        <v>9.0039999999999815E-2</v>
      </c>
      <c r="G59" s="11">
        <f t="array" ref="G59">SQRT(MMULT(B59:D59,MMULT($B$3:$D$5,TRANSPOSE(B59:D59))))</f>
        <v>9.2532445728642915E-2</v>
      </c>
      <c r="H59" s="11">
        <f t="array" ref="H59">MMULT(B59:D59,TRANSPOSE($G$3:$I$3))</f>
        <v>9.0040000000237347E-2</v>
      </c>
      <c r="J59" s="11">
        <v>9.2532445728642915E-2</v>
      </c>
      <c r="K59" s="11">
        <f t="shared" si="2"/>
        <v>9.0039999999999815E-2</v>
      </c>
    </row>
    <row r="60" spans="1:11" x14ac:dyDescent="0.2">
      <c r="A60" s="11" t="s">
        <v>63</v>
      </c>
      <c r="B60" s="11">
        <v>0.14115486387900783</v>
      </c>
      <c r="C60" s="11">
        <v>0.37217839355240911</v>
      </c>
      <c r="D60" s="11">
        <v>0.48666674256858306</v>
      </c>
      <c r="E60" s="11">
        <f t="shared" si="0"/>
        <v>1</v>
      </c>
      <c r="F60" s="11">
        <f t="shared" si="1"/>
        <v>9.0769999999999809E-2</v>
      </c>
      <c r="G60" s="11">
        <f t="array" ref="G60">SQRT(MMULT(B60:D60,MMULT($B$3:$D$5,TRANSPOSE(B60:D60))))</f>
        <v>9.2878419776614998E-2</v>
      </c>
      <c r="H60" s="11">
        <f t="array" ref="H60">MMULT(B60:D60,TRANSPOSE($G$3:$I$3))</f>
        <v>9.0769999963856318E-2</v>
      </c>
      <c r="J60" s="11">
        <v>9.2878419776614998E-2</v>
      </c>
      <c r="K60" s="11">
        <f t="shared" si="2"/>
        <v>9.0769999999999809E-2</v>
      </c>
    </row>
    <row r="61" spans="1:11" x14ac:dyDescent="0.2">
      <c r="A61" s="11" t="s">
        <v>64</v>
      </c>
      <c r="B61" s="11">
        <v>0.14836304436645378</v>
      </c>
      <c r="C61" s="11">
        <v>0.37483513502262655</v>
      </c>
      <c r="D61" s="11">
        <v>0.47680182061091969</v>
      </c>
      <c r="E61" s="11">
        <f t="shared" si="0"/>
        <v>1</v>
      </c>
      <c r="F61" s="11">
        <f t="shared" si="1"/>
        <v>9.1499999999999804E-2</v>
      </c>
      <c r="G61" s="11">
        <f t="array" ref="G61">SQRT(MMULT(B61:D61,MMULT($B$3:$D$5,TRANSPOSE(B61:D61))))</f>
        <v>9.3249055866281502E-2</v>
      </c>
      <c r="H61" s="11">
        <f t="array" ref="H61">MMULT(B61:D61,TRANSPOSE($G$3:$I$3))</f>
        <v>9.1500000023819E-2</v>
      </c>
      <c r="J61" s="11">
        <v>9.3249055866281502E-2</v>
      </c>
      <c r="K61" s="11">
        <f t="shared" si="2"/>
        <v>9.1499999999999804E-2</v>
      </c>
    </row>
    <row r="62" spans="1:11" x14ac:dyDescent="0.2">
      <c r="A62" s="11" t="s">
        <v>65</v>
      </c>
      <c r="B62" s="11">
        <v>0.15557122421764055</v>
      </c>
      <c r="C62" s="11">
        <v>0.377491876261288</v>
      </c>
      <c r="D62" s="11">
        <v>0.46693689952107142</v>
      </c>
      <c r="E62" s="11">
        <f t="shared" si="0"/>
        <v>1</v>
      </c>
      <c r="F62" s="11">
        <f t="shared" si="1"/>
        <v>9.2229999999999798E-2</v>
      </c>
      <c r="G62" s="11">
        <f t="array" ref="G62">SQRT(MMULT(B62:D62,MMULT($B$3:$D$5,TRANSPOSE(B62:D62))))</f>
        <v>9.3644061087314004E-2</v>
      </c>
      <c r="H62" s="11">
        <f t="array" ref="H62">MMULT(B62:D62,TRANSPOSE($G$3:$I$3))</f>
        <v>9.2230000019552519E-2</v>
      </c>
      <c r="J62" s="11">
        <v>9.3644061087314004E-2</v>
      </c>
      <c r="K62" s="11">
        <f t="shared" si="2"/>
        <v>9.2229999999999798E-2</v>
      </c>
    </row>
    <row r="63" spans="1:11" x14ac:dyDescent="0.2">
      <c r="A63" s="11" t="s">
        <v>66</v>
      </c>
      <c r="B63" s="11">
        <v>0.16277940344006839</v>
      </c>
      <c r="C63" s="11">
        <v>0.38014861726033872</v>
      </c>
      <c r="D63" s="11">
        <v>0.45707197929959287</v>
      </c>
      <c r="E63" s="11">
        <f t="shared" si="0"/>
        <v>1</v>
      </c>
      <c r="F63" s="11">
        <f t="shared" si="1"/>
        <v>9.2959999999999793E-2</v>
      </c>
      <c r="G63" s="11">
        <f t="array" ref="G63">SQRT(MMULT(B63:D63,MMULT($B$3:$D$5,TRANSPOSE(B63:D63))))</f>
        <v>9.4063128428939519E-2</v>
      </c>
      <c r="H63" s="11">
        <f t="array" ref="H63">MMULT(B63:D63,TRANSPOSE($G$3:$I$3))</f>
        <v>9.2959999951056929E-2</v>
      </c>
      <c r="J63" s="11">
        <v>9.4063128428939519E-2</v>
      </c>
      <c r="K63" s="11">
        <f t="shared" si="2"/>
        <v>9.2959999999999793E-2</v>
      </c>
    </row>
    <row r="64" spans="1:11" x14ac:dyDescent="0.2">
      <c r="A64" s="11" t="s">
        <v>67</v>
      </c>
      <c r="B64" s="11">
        <v>0.16998758329128083</v>
      </c>
      <c r="C64" s="11">
        <v>0.38280535849897274</v>
      </c>
      <c r="D64" s="11">
        <v>0.44720705820974632</v>
      </c>
      <c r="E64" s="11">
        <f t="shared" si="0"/>
        <v>0.99999999999999978</v>
      </c>
      <c r="F64" s="11">
        <f t="shared" si="1"/>
        <v>9.3689999999999787E-2</v>
      </c>
      <c r="G64" s="11">
        <f t="array" ref="G64">SQRT(MMULT(B64:D64,MMULT($B$3:$D$5,TRANSPOSE(B64:D64))))</f>
        <v>9.4505937869208842E-2</v>
      </c>
      <c r="H64" s="11">
        <f t="array" ref="H64">MMULT(B64:D64,TRANSPOSE($G$3:$I$3))</f>
        <v>9.3689999946790448E-2</v>
      </c>
      <c r="J64" s="11">
        <v>9.4505937869208842E-2</v>
      </c>
      <c r="K64" s="11">
        <f t="shared" si="2"/>
        <v>9.3689999999999787E-2</v>
      </c>
    </row>
    <row r="65" spans="1:11" x14ac:dyDescent="0.2">
      <c r="A65" s="11" t="s">
        <v>68</v>
      </c>
      <c r="B65" s="11">
        <v>0.17719576315226704</v>
      </c>
      <c r="C65" s="11">
        <v>0.38546209972710915</v>
      </c>
      <c r="D65" s="11">
        <v>0.43734213712062386</v>
      </c>
      <c r="E65" s="11">
        <f t="shared" si="0"/>
        <v>1</v>
      </c>
      <c r="F65" s="11">
        <f t="shared" si="1"/>
        <v>9.4419999999999782E-2</v>
      </c>
      <c r="G65" s="11">
        <f t="array" ref="G65">SQRT(MMULT(B65:D65,MMULT($B$3:$D$5,TRANSPOSE(B65:D65))))</f>
        <v>9.4972157279463468E-2</v>
      </c>
      <c r="H65" s="11">
        <f t="array" ref="H65">MMULT(B65:D65,TRANSPOSE($G$3:$I$3))</f>
        <v>9.4419999942523994E-2</v>
      </c>
      <c r="J65" s="11">
        <v>9.4972157279463468E-2</v>
      </c>
      <c r="K65" s="11">
        <f t="shared" si="2"/>
        <v>9.4419999999999782E-2</v>
      </c>
    </row>
    <row r="66" spans="1:11" x14ac:dyDescent="0.2">
      <c r="A66" s="11" t="s">
        <v>69</v>
      </c>
      <c r="B66" s="11">
        <v>0.18440394299614069</v>
      </c>
      <c r="C66" s="11">
        <v>0.38811884097362581</v>
      </c>
      <c r="D66" s="11">
        <v>0.42747721603023348</v>
      </c>
      <c r="E66" s="11">
        <f t="shared" si="0"/>
        <v>1</v>
      </c>
      <c r="F66" s="11">
        <f t="shared" si="1"/>
        <v>9.5149999999999776E-2</v>
      </c>
      <c r="G66" s="11">
        <f t="array" ref="G66">SQRT(MMULT(B66:D66,MMULT($B$3:$D$5,TRANSPOSE(B66:D66))))</f>
        <v>9.5461443667945414E-2</v>
      </c>
      <c r="H66" s="11">
        <f t="array" ref="H66">MMULT(B66:D66,TRANSPOSE($G$3:$I$3))</f>
        <v>9.514999993825754E-2</v>
      </c>
      <c r="J66" s="11">
        <v>9.5461443667945414E-2</v>
      </c>
      <c r="K66" s="11">
        <f t="shared" si="2"/>
        <v>9.5149999999999776E-2</v>
      </c>
    </row>
    <row r="67" spans="1:11" x14ac:dyDescent="0.2">
      <c r="A67" s="11" t="s">
        <v>70</v>
      </c>
      <c r="B67" s="11">
        <v>0.19161212348720746</v>
      </c>
      <c r="C67" s="11">
        <v>0.39077558243995386</v>
      </c>
      <c r="D67" s="11">
        <v>0.41761229407283862</v>
      </c>
      <c r="E67" s="11">
        <f t="shared" si="0"/>
        <v>1</v>
      </c>
      <c r="F67" s="11">
        <f t="shared" si="1"/>
        <v>9.5879999999999771E-2</v>
      </c>
      <c r="G67" s="11">
        <f t="array" ref="G67">SQRT(MMULT(B67:D67,MMULT($B$3:$D$5,TRANSPOSE(B67:D67))))</f>
        <v>9.5973444285046672E-2</v>
      </c>
      <c r="H67" s="11">
        <f t="array" ref="H67">MMULT(B67:D67,TRANSPOSE($G$3:$I$3))</f>
        <v>9.5879999998220208E-2</v>
      </c>
      <c r="J67" s="11">
        <v>9.5973444285046672E-2</v>
      </c>
      <c r="K67" s="11">
        <f t="shared" si="2"/>
        <v>9.5879999999999771E-2</v>
      </c>
    </row>
    <row r="68" spans="1:11" x14ac:dyDescent="0.2">
      <c r="A68" s="11" t="s">
        <v>71</v>
      </c>
      <c r="B68" s="11">
        <v>0.19882030334846881</v>
      </c>
      <c r="C68" s="11">
        <v>0.39343232366779446</v>
      </c>
      <c r="D68" s="11">
        <v>0.40774737298373681</v>
      </c>
      <c r="E68" s="11">
        <f t="shared" si="0"/>
        <v>1</v>
      </c>
      <c r="F68" s="11">
        <f t="shared" si="1"/>
        <v>9.6609999999999766E-2</v>
      </c>
      <c r="G68" s="11">
        <f t="array" ref="G68">SQRT(MMULT(B68:D68,MMULT($B$3:$D$5,TRANSPOSE(B68:D68))))</f>
        <v>9.6507797526248565E-2</v>
      </c>
      <c r="H68" s="11">
        <f t="array" ref="H68">MMULT(B68:D68,TRANSPOSE($G$3:$I$3))</f>
        <v>9.6609999993953713E-2</v>
      </c>
      <c r="J68" s="11">
        <v>9.6507797526248565E-2</v>
      </c>
      <c r="K68" s="11">
        <f t="shared" si="2"/>
        <v>9.6609999999999766E-2</v>
      </c>
    </row>
    <row r="69" spans="1:11" x14ac:dyDescent="0.2">
      <c r="A69" s="11" t="s">
        <v>72</v>
      </c>
      <c r="B69" s="11">
        <v>0.20602848319317327</v>
      </c>
      <c r="C69" s="11">
        <v>0.39608906491341889</v>
      </c>
      <c r="D69" s="11">
        <v>0.39788245189340776</v>
      </c>
      <c r="E69" s="11">
        <f t="shared" si="0"/>
        <v>0.99999999999999989</v>
      </c>
      <c r="F69" s="11">
        <f t="shared" si="1"/>
        <v>9.733999999999976E-2</v>
      </c>
      <c r="G69" s="11">
        <f t="array" ref="G69">SQRT(MMULT(B69:D69,MMULT($B$3:$D$5,TRANSPOSE(B69:D69))))</f>
        <v>9.7064134271504274E-2</v>
      </c>
      <c r="H69" s="11">
        <f t="array" ref="H69">MMULT(B69:D69,TRANSPOSE($G$3:$I$3))</f>
        <v>9.7339999989687273E-2</v>
      </c>
      <c r="J69" s="11">
        <v>9.7064134271504274E-2</v>
      </c>
      <c r="K69" s="11">
        <f t="shared" si="2"/>
        <v>9.733999999999976E-2</v>
      </c>
    </row>
    <row r="70" spans="1:11" x14ac:dyDescent="0.2">
      <c r="A70" s="11" t="s">
        <v>73</v>
      </c>
      <c r="B70" s="11">
        <v>0.21323666305686886</v>
      </c>
      <c r="C70" s="11">
        <v>0.39874580613864541</v>
      </c>
      <c r="D70" s="11">
        <v>0.38801753080448581</v>
      </c>
      <c r="E70" s="11">
        <f t="shared" si="0"/>
        <v>1</v>
      </c>
      <c r="F70" s="11">
        <f t="shared" si="1"/>
        <v>9.8069999999999755E-2</v>
      </c>
      <c r="G70" s="11">
        <f t="array" ref="G70">SQRT(MMULT(B70:D70,MMULT($B$3:$D$5,TRANSPOSE(B70:D70))))</f>
        <v>9.7642078754308692E-2</v>
      </c>
      <c r="H70" s="11">
        <f t="array" ref="H70">MMULT(B70:D70,TRANSPOSE($G$3:$I$3))</f>
        <v>9.8069999985420833E-2</v>
      </c>
      <c r="J70" s="11">
        <v>9.7642078754308692E-2</v>
      </c>
      <c r="K70" s="11">
        <f t="shared" si="2"/>
        <v>9.8069999999999755E-2</v>
      </c>
    </row>
    <row r="71" spans="1:11" x14ac:dyDescent="0.2">
      <c r="A71" s="11" t="s">
        <v>74</v>
      </c>
      <c r="B71" s="11">
        <v>0.22044484291046684</v>
      </c>
      <c r="C71" s="11">
        <v>0.40140254737471592</v>
      </c>
      <c r="D71" s="11">
        <v>0.37815260971481723</v>
      </c>
      <c r="E71" s="11">
        <f t="shared" si="0"/>
        <v>1</v>
      </c>
      <c r="F71" s="11">
        <f t="shared" si="1"/>
        <v>9.8799999999999749E-2</v>
      </c>
      <c r="G71" s="11">
        <f t="array" ref="G71">SQRT(MMULT(B71:D71,MMULT($B$3:$D$5,TRANSPOSE(B71:D71))))</f>
        <v>9.824124962624102E-2</v>
      </c>
      <c r="H71" s="11">
        <f t="array" ref="H71">MMULT(B71:D71,TRANSPOSE($G$3:$I$3))</f>
        <v>9.8799999981154241E-2</v>
      </c>
      <c r="J71" s="11">
        <v>9.824124962624102E-2</v>
      </c>
      <c r="K71" s="11">
        <f t="shared" si="2"/>
        <v>9.8799999999999749E-2</v>
      </c>
    </row>
    <row r="72" spans="1:11" x14ac:dyDescent="0.2">
      <c r="A72" s="11" t="s">
        <v>75</v>
      </c>
      <c r="B72" s="11">
        <v>0.22765302276562788</v>
      </c>
      <c r="C72" s="11">
        <v>0.40405928860910906</v>
      </c>
      <c r="D72" s="11">
        <v>0.36828768862526301</v>
      </c>
      <c r="E72" s="11">
        <f t="shared" si="0"/>
        <v>1</v>
      </c>
      <c r="F72" s="11">
        <f t="shared" si="1"/>
        <v>9.9529999999999744E-2</v>
      </c>
      <c r="G72" s="11">
        <f t="array" ref="G72">SQRT(MMULT(B72:D72,MMULT($B$3:$D$5,TRANSPOSE(B72:D72))))</f>
        <v>9.8861260946161225E-2</v>
      </c>
      <c r="H72" s="11">
        <f t="array" ref="H72">MMULT(B72:D72,TRANSPOSE($G$3:$I$3))</f>
        <v>9.9529999976887801E-2</v>
      </c>
      <c r="J72" s="11">
        <v>9.8861260946161225E-2</v>
      </c>
      <c r="K72" s="11">
        <f t="shared" si="2"/>
        <v>9.9529999999999744E-2</v>
      </c>
    </row>
    <row r="73" spans="1:11" x14ac:dyDescent="0.2">
      <c r="A73" s="11" t="s">
        <v>76</v>
      </c>
      <c r="B73" s="11">
        <v>0.2348612026191943</v>
      </c>
      <c r="C73" s="11">
        <v>0.40671602984521904</v>
      </c>
      <c r="D73" s="11">
        <v>0.35842276753558672</v>
      </c>
      <c r="E73" s="11">
        <f t="shared" si="0"/>
        <v>1</v>
      </c>
      <c r="F73" s="11">
        <f t="shared" si="1"/>
        <v>0.10025999999999974</v>
      </c>
      <c r="G73" s="11">
        <f t="array" ref="G73">SQRT(MMULT(B73:D73,MMULT($B$3:$D$5,TRANSPOSE(B73:D73))))</f>
        <v>9.9501723134232223E-2</v>
      </c>
      <c r="H73" s="11">
        <f t="array" ref="H73">MMULT(B73:D73,TRANSPOSE($G$3:$I$3))</f>
        <v>0.10025999997262164</v>
      </c>
      <c r="J73" s="11">
        <v>9.9501723134232223E-2</v>
      </c>
      <c r="K73" s="11">
        <f t="shared" si="2"/>
        <v>0.10025999999999974</v>
      </c>
    </row>
    <row r="74" spans="1:11" x14ac:dyDescent="0.2">
      <c r="A74" s="11" t="s">
        <v>77</v>
      </c>
      <c r="B74" s="11">
        <v>0.24206938246715329</v>
      </c>
      <c r="C74" s="11">
        <v>0.40937277108734749</v>
      </c>
      <c r="D74" s="11">
        <v>0.3485578464454992</v>
      </c>
      <c r="E74" s="11">
        <f t="shared" si="0"/>
        <v>1</v>
      </c>
      <c r="F74" s="11">
        <f t="shared" si="1"/>
        <v>0.10098999999999973</v>
      </c>
      <c r="G74" s="11">
        <f t="array" ref="G74">SQRT(MMULT(B74:D74,MMULT($B$3:$D$5,TRANSPOSE(B74:D74))))</f>
        <v>0.10016224388747769</v>
      </c>
      <c r="H74" s="11">
        <f t="array" ref="H74">MMULT(B74:D74,TRANSPOSE($G$3:$I$3))</f>
        <v>0.10098999996835514</v>
      </c>
      <c r="J74" s="11">
        <v>0.10016224388747769</v>
      </c>
      <c r="K74" s="11">
        <f t="shared" si="2"/>
        <v>0.10098999999999973</v>
      </c>
    </row>
    <row r="75" spans="1:11" x14ac:dyDescent="0.2">
      <c r="A75" s="11" t="s">
        <v>78</v>
      </c>
      <c r="B75" s="11">
        <v>0.2492775623295844</v>
      </c>
      <c r="C75" s="11">
        <v>0.41202951231393226</v>
      </c>
      <c r="D75" s="11">
        <v>0.33869292535648327</v>
      </c>
      <c r="E75" s="11">
        <f t="shared" si="0"/>
        <v>1</v>
      </c>
      <c r="F75" s="11">
        <f t="shared" si="1"/>
        <v>0.10171999999999973</v>
      </c>
      <c r="G75" s="11">
        <f t="array" ref="G75">SQRT(MMULT(B75:D75,MMULT($B$3:$D$5,TRANSPOSE(B75:D75))))</f>
        <v>0.10084242905416603</v>
      </c>
      <c r="H75" s="11">
        <f t="array" ref="H75">MMULT(B75:D75,TRANSPOSE($G$3:$I$3))</f>
        <v>0.1017199999640887</v>
      </c>
      <c r="J75" s="11">
        <v>0.10084242905416603</v>
      </c>
      <c r="K75" s="11">
        <f t="shared" si="2"/>
        <v>0.10171999999999973</v>
      </c>
    </row>
    <row r="76" spans="1:11" x14ac:dyDescent="0.2">
      <c r="A76" s="11" t="s">
        <v>79</v>
      </c>
      <c r="B76" s="11">
        <v>0.25648574218156295</v>
      </c>
      <c r="C76" s="11">
        <v>0.41468625355174349</v>
      </c>
      <c r="D76" s="11">
        <v>0.32882800426669367</v>
      </c>
      <c r="E76" s="11">
        <f t="shared" ref="E76:E111" si="3">SUM(B76:D76)</f>
        <v>1</v>
      </c>
      <c r="F76" s="11">
        <f t="shared" si="1"/>
        <v>0.10244999999999972</v>
      </c>
      <c r="G76" s="11">
        <f t="array" ref="G76">SQRT(MMULT(B76:D76,MMULT($B$3:$D$5,TRANSPOSE(B76:D76))))</f>
        <v>0.10154188346486018</v>
      </c>
      <c r="H76" s="11">
        <f t="array" ref="H76">MMULT(B76:D76,TRANSPOSE($G$3:$I$3))</f>
        <v>0.10244999995982224</v>
      </c>
      <c r="J76" s="11">
        <v>0.10154188346486018</v>
      </c>
      <c r="K76" s="11">
        <f t="shared" si="2"/>
        <v>0.10244999999999972</v>
      </c>
    </row>
    <row r="77" spans="1:11" x14ac:dyDescent="0.2">
      <c r="A77" s="11" t="s">
        <v>80</v>
      </c>
      <c r="B77" s="11">
        <v>0.26369402014773141</v>
      </c>
      <c r="C77" s="11">
        <v>0.41734303094284048</v>
      </c>
      <c r="D77" s="11">
        <v>0.31896294890942795</v>
      </c>
      <c r="E77" s="11">
        <f t="shared" si="3"/>
        <v>0.99999999999999978</v>
      </c>
      <c r="F77" s="11">
        <f t="shared" ref="F77:F111" si="4">F76+0.00073</f>
        <v>0.10317999999999972</v>
      </c>
      <c r="G77" s="11">
        <f t="array" ref="G77">SQRT(MMULT(B77:D77,MMULT($B$3:$D$5,TRANSPOSE(B77:D77))))</f>
        <v>0.10226022162207363</v>
      </c>
      <c r="H77" s="11">
        <f t="array" ref="H77">MMULT(B77:D77,TRANSPOSE($G$3:$I$3))</f>
        <v>0.10318000989132634</v>
      </c>
      <c r="J77" s="11">
        <v>0.10226022162207363</v>
      </c>
      <c r="K77" s="11">
        <f t="shared" ref="K77:K111" si="5">K76+0.00073</f>
        <v>0.10317999999999972</v>
      </c>
    </row>
    <row r="78" spans="1:11" x14ac:dyDescent="0.2">
      <c r="A78" s="11" t="s">
        <v>81</v>
      </c>
      <c r="B78" s="11">
        <v>0.27090219999987114</v>
      </c>
      <c r="C78" s="11">
        <v>0.41999977218047879</v>
      </c>
      <c r="D78" s="11">
        <v>0.30909802781965001</v>
      </c>
      <c r="E78" s="11">
        <f t="shared" si="3"/>
        <v>1</v>
      </c>
      <c r="F78" s="11">
        <f t="shared" si="4"/>
        <v>0.10390999999999971</v>
      </c>
      <c r="G78" s="11">
        <f t="array" ref="G78">SQRT(MMULT(B78:D78,MMULT($B$3:$D$5,TRANSPOSE(B78:D78))))</f>
        <v>0.10299702907485725</v>
      </c>
      <c r="H78" s="11">
        <f t="array" ref="H78">MMULT(B78:D78,TRANSPOSE($G$3:$I$3))</f>
        <v>0.1039100098870599</v>
      </c>
      <c r="J78" s="11">
        <v>0.10299702907485725</v>
      </c>
      <c r="K78" s="11">
        <f t="shared" si="5"/>
        <v>0.10390999999999971</v>
      </c>
    </row>
    <row r="79" spans="1:11" x14ac:dyDescent="0.2">
      <c r="A79" s="11" t="s">
        <v>82</v>
      </c>
      <c r="B79" s="11">
        <v>0.27811037985544274</v>
      </c>
      <c r="C79" s="11">
        <v>0.42265651341443083</v>
      </c>
      <c r="D79" s="11">
        <v>0.29923310673012632</v>
      </c>
      <c r="E79" s="11">
        <f t="shared" si="3"/>
        <v>1</v>
      </c>
      <c r="F79" s="11">
        <f t="shared" si="4"/>
        <v>0.10463999999999971</v>
      </c>
      <c r="G79" s="11">
        <f t="array" ref="G79">SQRT(MMULT(B79:D79,MMULT($B$3:$D$5,TRANSPOSE(B79:D79))))</f>
        <v>0.10375192178159953</v>
      </c>
      <c r="H79" s="11">
        <f t="array" ref="H79">MMULT(B79:D79,TRANSPOSE($G$3:$I$3))</f>
        <v>0.10464000988279343</v>
      </c>
      <c r="J79" s="11">
        <v>0.10375192178159953</v>
      </c>
      <c r="K79" s="11">
        <f t="shared" si="5"/>
        <v>0.10463999999999971</v>
      </c>
    </row>
    <row r="80" spans="1:11" x14ac:dyDescent="0.2">
      <c r="A80" s="11" t="s">
        <v>83</v>
      </c>
      <c r="B80" s="11">
        <v>0.28531855970831516</v>
      </c>
      <c r="C80" s="11">
        <v>0.42531325465128217</v>
      </c>
      <c r="D80" s="11">
        <v>0.28936818564040262</v>
      </c>
      <c r="E80" s="11">
        <f t="shared" si="3"/>
        <v>1</v>
      </c>
      <c r="F80" s="11">
        <f t="shared" si="4"/>
        <v>0.1053699999999997</v>
      </c>
      <c r="G80" s="11">
        <f t="array" ref="G80">SQRT(MMULT(B80:D80,MMULT($B$3:$D$5,TRANSPOSE(B80:D80))))</f>
        <v>0.10452450789924866</v>
      </c>
      <c r="H80" s="11">
        <f t="array" ref="H80">MMULT(B80:D80,TRANSPOSE($G$3:$I$3))</f>
        <v>0.10537000987852696</v>
      </c>
      <c r="J80" s="11">
        <v>0.10452450789924866</v>
      </c>
      <c r="K80" s="11">
        <f t="shared" si="5"/>
        <v>0.1053699999999997</v>
      </c>
    </row>
    <row r="81" spans="1:11" x14ac:dyDescent="0.2">
      <c r="A81" s="11" t="s">
        <v>84</v>
      </c>
      <c r="B81" s="11">
        <v>0.29252673956349379</v>
      </c>
      <c r="C81" s="11">
        <v>0.42796999588565632</v>
      </c>
      <c r="D81" s="11">
        <v>0.27950326455084989</v>
      </c>
      <c r="E81" s="11">
        <f t="shared" si="3"/>
        <v>1</v>
      </c>
      <c r="F81" s="11">
        <f t="shared" si="4"/>
        <v>0.10609999999999969</v>
      </c>
      <c r="G81" s="11">
        <f t="array" ref="G81">SQRT(MMULT(B81:D81,MMULT($B$3:$D$5,TRANSPOSE(B81:D81))))</f>
        <v>0.10531439803209165</v>
      </c>
      <c r="H81" s="11">
        <f t="array" ref="H81">MMULT(B81:D81,TRANSPOSE($G$3:$I$3))</f>
        <v>0.10610000987426051</v>
      </c>
      <c r="J81" s="11">
        <v>0.10531439803209165</v>
      </c>
      <c r="K81" s="11">
        <f t="shared" si="5"/>
        <v>0.10609999999999969</v>
      </c>
    </row>
    <row r="82" spans="1:11" x14ac:dyDescent="0.2">
      <c r="A82" s="11" t="s">
        <v>85</v>
      </c>
      <c r="B82" s="11">
        <v>0.29973491941698543</v>
      </c>
      <c r="C82" s="11">
        <v>0.43062673712184235</v>
      </c>
      <c r="D82" s="11">
        <v>0.26963834346117216</v>
      </c>
      <c r="E82" s="11">
        <f t="shared" si="3"/>
        <v>1</v>
      </c>
      <c r="F82" s="11">
        <f t="shared" si="4"/>
        <v>0.10682999999999969</v>
      </c>
      <c r="G82" s="11">
        <f t="array" ref="G82">SQRT(MMULT(B82:D82,MMULT($B$3:$D$5,TRANSPOSE(B82:D82))))</f>
        <v>0.10612120578480226</v>
      </c>
      <c r="H82" s="11">
        <f t="array" ref="H82">MMULT(B82:D82,TRANSPOSE($G$3:$I$3))</f>
        <v>0.10683000986999402</v>
      </c>
      <c r="J82" s="11">
        <v>0.10612120578480226</v>
      </c>
      <c r="K82" s="11">
        <f t="shared" si="5"/>
        <v>0.10682999999999969</v>
      </c>
    </row>
    <row r="83" spans="1:11" x14ac:dyDescent="0.2">
      <c r="A83" s="11" t="s">
        <v>86</v>
      </c>
      <c r="B83" s="11">
        <v>0.30694309927102836</v>
      </c>
      <c r="C83" s="11">
        <v>0.43328347835743647</v>
      </c>
      <c r="D83" s="11">
        <v>0.25977342237153517</v>
      </c>
      <c r="E83" s="11">
        <f t="shared" si="3"/>
        <v>1</v>
      </c>
      <c r="F83" s="11">
        <f t="shared" si="4"/>
        <v>0.10755999999999968</v>
      </c>
      <c r="G83" s="11">
        <f t="array" ref="G83">SQRT(MMULT(B83:D83,MMULT($B$3:$D$5,TRANSPOSE(B83:D83))))</f>
        <v>0.10694454826991256</v>
      </c>
      <c r="H83" s="11">
        <f t="array" ref="H83">MMULT(B83:D83,TRANSPOSE($G$3:$I$3))</f>
        <v>0.10756000986572758</v>
      </c>
      <c r="J83" s="11">
        <v>0.10694454826991256</v>
      </c>
      <c r="K83" s="11">
        <f t="shared" si="5"/>
        <v>0.10755999999999968</v>
      </c>
    </row>
    <row r="84" spans="1:11" x14ac:dyDescent="0.2">
      <c r="A84" s="11" t="s">
        <v>87</v>
      </c>
      <c r="B84" s="11">
        <v>0.31415127912451624</v>
      </c>
      <c r="C84" s="11">
        <v>0.43594021959362655</v>
      </c>
      <c r="D84" s="11">
        <v>0.24990850128185718</v>
      </c>
      <c r="E84" s="11">
        <f t="shared" si="3"/>
        <v>1</v>
      </c>
      <c r="F84" s="11">
        <f t="shared" si="4"/>
        <v>0.10828999999999968</v>
      </c>
      <c r="G84" s="11">
        <f t="array" ref="G84">SQRT(MMULT(B84:D84,MMULT($B$3:$D$5,TRANSPOSE(B84:D84))))</f>
        <v>0.10778404657075995</v>
      </c>
      <c r="H84" s="11">
        <f t="array" ref="H84">MMULT(B84:D84,TRANSPOSE($G$3:$I$3))</f>
        <v>0.1082900098614611</v>
      </c>
      <c r="J84" s="11">
        <v>0.10778404657075995</v>
      </c>
      <c r="K84" s="11">
        <f t="shared" si="5"/>
        <v>0.10828999999999968</v>
      </c>
    </row>
    <row r="85" spans="1:11" x14ac:dyDescent="0.2">
      <c r="A85" s="11" t="s">
        <v>88</v>
      </c>
      <c r="B85" s="11">
        <v>0.32135945898079604</v>
      </c>
      <c r="C85" s="11">
        <v>0.43859696082681821</v>
      </c>
      <c r="D85" s="11">
        <v>0.24004358019238581</v>
      </c>
      <c r="E85" s="11">
        <f t="shared" si="3"/>
        <v>1</v>
      </c>
      <c r="F85" s="11">
        <f t="shared" si="4"/>
        <v>0.10901999999999967</v>
      </c>
      <c r="G85" s="11">
        <f t="array" ref="G85">SQRT(MMULT(B85:D85,MMULT($B$3:$D$5,TRANSPOSE(B85:D85))))</f>
        <v>0.10863932616118639</v>
      </c>
      <c r="H85" s="11">
        <f t="array" ref="H85">MMULT(B85:D85,TRANSPOSE($G$3:$I$3))</f>
        <v>0.10902000985719466</v>
      </c>
      <c r="J85" s="11">
        <v>0.10863932616118639</v>
      </c>
      <c r="K85" s="11">
        <f t="shared" si="5"/>
        <v>0.10901999999999967</v>
      </c>
    </row>
    <row r="86" spans="1:11" x14ac:dyDescent="0.2">
      <c r="A86" s="11" t="s">
        <v>89</v>
      </c>
      <c r="B86" s="11">
        <v>0.32856763883707002</v>
      </c>
      <c r="C86" s="11">
        <v>0.44125370206001568</v>
      </c>
      <c r="D86" s="11">
        <v>0.23017865910291418</v>
      </c>
      <c r="E86" s="11">
        <f t="shared" si="3"/>
        <v>1</v>
      </c>
      <c r="F86" s="11">
        <f t="shared" si="4"/>
        <v>0.10974999999999967</v>
      </c>
      <c r="G86" s="11">
        <f t="array" ref="G86">SQRT(MMULT(B86:D86,MMULT($B$3:$D$5,TRANSPOSE(B86:D86))))</f>
        <v>0.10951001728345358</v>
      </c>
      <c r="H86" s="11">
        <f t="array" ref="H86">MMULT(B86:D86,TRANSPOSE($G$3:$I$3))</f>
        <v>0.10975000985292817</v>
      </c>
      <c r="J86" s="11">
        <v>0.10951001728345358</v>
      </c>
      <c r="K86" s="11">
        <f t="shared" si="5"/>
        <v>0.10974999999999967</v>
      </c>
    </row>
    <row r="87" spans="1:11" x14ac:dyDescent="0.2">
      <c r="A87" s="11" t="s">
        <v>90</v>
      </c>
      <c r="B87" s="11">
        <v>0.3357758186900926</v>
      </c>
      <c r="C87" s="11">
        <v>0.44391044329670554</v>
      </c>
      <c r="D87" s="11">
        <v>0.22031373801320175</v>
      </c>
      <c r="E87" s="11">
        <f t="shared" si="3"/>
        <v>0.99999999999999989</v>
      </c>
      <c r="F87" s="11">
        <f t="shared" si="4"/>
        <v>0.11047999999999966</v>
      </c>
      <c r="G87" s="11">
        <f t="array" ref="G87">SQRT(MMULT(B87:D87,MMULT($B$3:$D$5,TRANSPOSE(B87:D87))))</f>
        <v>0.11039575528599256</v>
      </c>
      <c r="H87" s="11">
        <f t="array" ref="H87">MMULT(B87:D87,TRANSPOSE($G$3:$I$3))</f>
        <v>0.1104800098486617</v>
      </c>
      <c r="J87" s="11">
        <v>0.11039575528599256</v>
      </c>
      <c r="K87" s="11">
        <f t="shared" si="5"/>
        <v>0.11047999999999966</v>
      </c>
    </row>
    <row r="88" spans="1:11" x14ac:dyDescent="0.2">
      <c r="A88" s="11" t="s">
        <v>91</v>
      </c>
      <c r="B88" s="11">
        <v>0.34298399854174139</v>
      </c>
      <c r="C88" s="11">
        <v>0.44656718453487115</v>
      </c>
      <c r="D88" s="11">
        <v>0.21044881692338735</v>
      </c>
      <c r="E88" s="11">
        <f t="shared" si="3"/>
        <v>0.99999999999999989</v>
      </c>
      <c r="F88" s="11">
        <f t="shared" si="4"/>
        <v>0.11120999999999966</v>
      </c>
      <c r="G88" s="11">
        <f t="array" ref="G88">SQRT(MMULT(B88:D88,MMULT($B$3:$D$5,TRANSPOSE(B88:D88))))</f>
        <v>0.11129618092272529</v>
      </c>
      <c r="H88" s="11">
        <f t="array" ref="H88">MMULT(B88:D88,TRANSPOSE($G$3:$I$3))</f>
        <v>0.11121000984439525</v>
      </c>
      <c r="J88" s="11">
        <v>0.11129618092272529</v>
      </c>
      <c r="K88" s="11">
        <f t="shared" si="5"/>
        <v>0.11120999999999966</v>
      </c>
    </row>
    <row r="89" spans="1:11" x14ac:dyDescent="0.2">
      <c r="A89" s="11" t="s">
        <v>92</v>
      </c>
      <c r="B89" s="11">
        <v>0.35019217838573302</v>
      </c>
      <c r="C89" s="11">
        <v>0.44922392578126086</v>
      </c>
      <c r="D89" s="11">
        <v>0.20058389583300598</v>
      </c>
      <c r="E89" s="11">
        <f t="shared" si="3"/>
        <v>0.99999999999999978</v>
      </c>
      <c r="F89" s="11">
        <f t="shared" si="4"/>
        <v>0.11193999999999965</v>
      </c>
      <c r="G89" s="11">
        <f t="array" ref="G89">SQRT(MMULT(B89:D89,MMULT($B$3:$D$5,TRANSPOSE(B89:D89))))</f>
        <v>0.11221094061578858</v>
      </c>
      <c r="H89" s="11">
        <f t="array" ref="H89">MMULT(B89:D89,TRANSPOSE($G$3:$I$3))</f>
        <v>0.11194000984012878</v>
      </c>
      <c r="J89" s="11">
        <v>0.11221094061578858</v>
      </c>
      <c r="K89" s="11">
        <f t="shared" si="5"/>
        <v>0.11193999999999965</v>
      </c>
    </row>
    <row r="90" spans="1:11" x14ac:dyDescent="0.2">
      <c r="A90" s="11" t="s">
        <v>93</v>
      </c>
      <c r="B90" s="11">
        <v>0.35740035824846389</v>
      </c>
      <c r="C90" s="11">
        <v>0.4518806670075235</v>
      </c>
      <c r="D90" s="11">
        <v>0.19071897474401248</v>
      </c>
      <c r="E90" s="11">
        <f t="shared" si="3"/>
        <v>0.99999999999999989</v>
      </c>
      <c r="F90" s="11">
        <f t="shared" si="4"/>
        <v>0.11266999999999965</v>
      </c>
      <c r="G90" s="11">
        <f t="array" ref="G90">SQRT(MMULT(B90:D90,MMULT($B$3:$D$5,TRANSPOSE(B90:D90))))</f>
        <v>0.11313968668355438</v>
      </c>
      <c r="H90" s="11">
        <f t="array" ref="H90">MMULT(B90:D90,TRANSPOSE($G$3:$I$3))</f>
        <v>0.11267000983586231</v>
      </c>
      <c r="J90" s="11">
        <v>0.11313968668355438</v>
      </c>
      <c r="K90" s="11">
        <f t="shared" si="5"/>
        <v>0.11266999999999965</v>
      </c>
    </row>
    <row r="91" spans="1:11" x14ac:dyDescent="0.2">
      <c r="A91" s="11" t="s">
        <v>94</v>
      </c>
      <c r="B91" s="11">
        <v>0.36460853810861038</v>
      </c>
      <c r="C91" s="11">
        <v>0.4545374082365618</v>
      </c>
      <c r="D91" s="11">
        <v>0.18085405365482773</v>
      </c>
      <c r="E91" s="11">
        <f t="shared" si="3"/>
        <v>1</v>
      </c>
      <c r="F91" s="11">
        <f t="shared" si="4"/>
        <v>0.11339999999999964</v>
      </c>
      <c r="G91" s="11">
        <f t="array" ref="G91">SQRT(MMULT(B91:D91,MMULT($B$3:$D$5,TRANSPOSE(B91:D91))))</f>
        <v>0.11408207753587966</v>
      </c>
      <c r="H91" s="11">
        <f t="array" ref="H91">MMULT(B91:D91,TRANSPOSE($G$3:$I$3))</f>
        <v>0.11340000983159584</v>
      </c>
      <c r="J91" s="11">
        <v>0.11408207753587966</v>
      </c>
      <c r="K91" s="11">
        <f t="shared" si="5"/>
        <v>0.11339999999999964</v>
      </c>
    </row>
    <row r="92" spans="1:11" x14ac:dyDescent="0.2">
      <c r="A92" s="11" t="s">
        <v>95</v>
      </c>
      <c r="B92" s="11">
        <v>0.37181671796005311</v>
      </c>
      <c r="C92" s="11">
        <v>0.45719414947494857</v>
      </c>
      <c r="D92" s="11">
        <v>0.17098913256499829</v>
      </c>
      <c r="E92" s="11">
        <f t="shared" si="3"/>
        <v>0.99999999999999989</v>
      </c>
      <c r="F92" s="11">
        <f t="shared" si="4"/>
        <v>0.11412999999999963</v>
      </c>
      <c r="G92" s="11">
        <f t="array" ref="G92">SQRT(MMULT(B92:D92,MMULT($B$3:$D$5,TRANSPOSE(B92:D92))))</f>
        <v>0.11503777783853814</v>
      </c>
      <c r="H92" s="11">
        <f t="array" ref="H92">MMULT(B92:D92,TRANSPOSE($G$3:$I$3))</f>
        <v>0.11413000982732939</v>
      </c>
      <c r="J92" s="11">
        <v>0.11503777783853814</v>
      </c>
      <c r="K92" s="11">
        <f t="shared" si="5"/>
        <v>0.11412999999999963</v>
      </c>
    </row>
    <row r="93" spans="1:11" x14ac:dyDescent="0.2">
      <c r="A93" s="11" t="s">
        <v>96</v>
      </c>
      <c r="B93" s="11">
        <v>0.37902479907871228</v>
      </c>
      <c r="C93" s="11">
        <v>0.459850854309514</v>
      </c>
      <c r="D93" s="11">
        <v>0.16112434661177369</v>
      </c>
      <c r="E93" s="11">
        <f t="shared" si="3"/>
        <v>0.99999999999999989</v>
      </c>
      <c r="F93" s="11">
        <f t="shared" si="4"/>
        <v>0.11485999999999963</v>
      </c>
      <c r="G93" s="11">
        <f t="array" ref="G93">SQRT(MMULT(B93:D93,MMULT($B$3:$D$5,TRANSPOSE(B93:D93))))</f>
        <v>0.11600644529175702</v>
      </c>
      <c r="H93" s="11">
        <f t="array" ref="H93">MMULT(B93:D93,TRANSPOSE($G$3:$I$3))</f>
        <v>0.11485999982306279</v>
      </c>
      <c r="J93" s="11">
        <v>0.11600644529175702</v>
      </c>
      <c r="K93" s="11">
        <f t="shared" si="5"/>
        <v>0.11485999999999963</v>
      </c>
    </row>
    <row r="94" spans="1:11" x14ac:dyDescent="0.2">
      <c r="A94" s="11" t="s">
        <v>97</v>
      </c>
      <c r="B94" s="11">
        <v>0.38623307767378484</v>
      </c>
      <c r="C94" s="11">
        <v>0.46250763194007249</v>
      </c>
      <c r="D94" s="11">
        <v>0.15125929038614261</v>
      </c>
      <c r="E94" s="11">
        <f t="shared" si="3"/>
        <v>0.99999999999999989</v>
      </c>
      <c r="F94" s="11">
        <f t="shared" si="4"/>
        <v>0.11558999999999962</v>
      </c>
      <c r="G94" s="11">
        <f t="array" ref="G94">SQRT(MMULT(B94:D94,MMULT($B$3:$D$5,TRANSPOSE(B94:D94))))</f>
        <v>0.11698779752398111</v>
      </c>
      <c r="H94" s="11">
        <f t="array" ref="H94">MMULT(B94:D94,TRANSPOSE($G$3:$I$3))</f>
        <v>0.11559000981879647</v>
      </c>
      <c r="J94" s="11">
        <v>0.11698779752398111</v>
      </c>
      <c r="K94" s="11">
        <f t="shared" si="5"/>
        <v>0.11558999999999962</v>
      </c>
    </row>
    <row r="95" spans="1:11" x14ac:dyDescent="0.2">
      <c r="A95" s="11" t="s">
        <v>98</v>
      </c>
      <c r="B95" s="11">
        <v>0.39344125752718517</v>
      </c>
      <c r="C95" s="11">
        <v>0.46516437317635684</v>
      </c>
      <c r="D95" s="11">
        <v>0.14139436929645796</v>
      </c>
      <c r="E95" s="11">
        <f t="shared" si="3"/>
        <v>1</v>
      </c>
      <c r="F95" s="11">
        <f t="shared" si="4"/>
        <v>0.11631999999999962</v>
      </c>
      <c r="G95" s="11">
        <f t="array" ref="G95">SQRT(MMULT(B95:D95,MMULT($B$3:$D$5,TRANSPOSE(B95:D95))))</f>
        <v>0.11798147860519786</v>
      </c>
      <c r="H95" s="11">
        <f t="array" ref="H95">MMULT(B95:D95,TRANSPOSE($G$3:$I$3))</f>
        <v>0.11632000981453001</v>
      </c>
      <c r="J95" s="11">
        <v>0.11798147860519786</v>
      </c>
      <c r="K95" s="11">
        <f t="shared" si="5"/>
        <v>0.11631999999999962</v>
      </c>
    </row>
    <row r="96" spans="1:11" x14ac:dyDescent="0.2">
      <c r="A96" s="11" t="s">
        <v>99</v>
      </c>
      <c r="B96" s="11">
        <v>0.40064943737208031</v>
      </c>
      <c r="C96" s="11">
        <v>0.46782111442177615</v>
      </c>
      <c r="D96" s="11">
        <v>0.13152944820614348</v>
      </c>
      <c r="E96" s="11">
        <f t="shared" si="3"/>
        <v>1</v>
      </c>
      <c r="F96" s="11">
        <f t="shared" si="4"/>
        <v>0.11704999999999961</v>
      </c>
      <c r="G96" s="11">
        <f t="array" ref="G96">SQRT(MMULT(B96:D96,MMULT($B$3:$D$5,TRANSPOSE(B96:D96))))</f>
        <v>0.11898719267762518</v>
      </c>
      <c r="H96" s="11">
        <f t="array" ref="H96">MMULT(B96:D96,TRANSPOSE($G$3:$I$3))</f>
        <v>0.11705000981026353</v>
      </c>
      <c r="J96" s="11">
        <v>0.11898719267762518</v>
      </c>
      <c r="K96" s="11">
        <f t="shared" si="5"/>
        <v>0.11704999999999961</v>
      </c>
    </row>
    <row r="97" spans="1:11" x14ac:dyDescent="0.2">
      <c r="A97" s="11" t="s">
        <v>100</v>
      </c>
      <c r="B97" s="11">
        <v>0.40785761723819053</v>
      </c>
      <c r="C97" s="11">
        <v>0.47047785564440892</v>
      </c>
      <c r="D97" s="11">
        <v>0.12166452711740039</v>
      </c>
      <c r="E97" s="11">
        <f t="shared" si="3"/>
        <v>0.99999999999999978</v>
      </c>
      <c r="F97" s="11">
        <f t="shared" si="4"/>
        <v>0.11777999999999961</v>
      </c>
      <c r="G97" s="11">
        <f t="array" ref="G97">SQRT(MMULT(B97:D97,MMULT($B$3:$D$5,TRANSPOSE(B97:D97))))</f>
        <v>0.12000463720962048</v>
      </c>
      <c r="H97" s="11">
        <f t="array" ref="H97">MMULT(B97:D97,TRANSPOSE($G$3:$I$3))</f>
        <v>0.11778000980599707</v>
      </c>
      <c r="J97" s="11">
        <v>0.12000463720962048</v>
      </c>
      <c r="K97" s="11">
        <f t="shared" si="5"/>
        <v>0.11777999999999961</v>
      </c>
    </row>
    <row r="98" spans="1:11" x14ac:dyDescent="0.2">
      <c r="A98" s="11" t="s">
        <v>101</v>
      </c>
      <c r="B98" s="11">
        <v>0.41506579709009123</v>
      </c>
      <c r="C98" s="11">
        <v>0.47313459688230386</v>
      </c>
      <c r="D98" s="11">
        <v>0.11179960602760482</v>
      </c>
      <c r="E98" s="11">
        <f t="shared" si="3"/>
        <v>0.99999999999999989</v>
      </c>
      <c r="F98" s="11">
        <f t="shared" si="4"/>
        <v>0.1185099999999996</v>
      </c>
      <c r="G98" s="11">
        <f t="array" ref="G98">SQRT(MMULT(B98:D98,MMULT($B$3:$D$5,TRANSPOSE(B98:D98))))</f>
        <v>0.12103351637211797</v>
      </c>
      <c r="H98" s="11">
        <f t="array" ref="H98">MMULT(B98:D98,TRANSPOSE($G$3:$I$3))</f>
        <v>0.1185100098017306</v>
      </c>
      <c r="J98" s="11">
        <v>0.12103351637211797</v>
      </c>
      <c r="K98" s="11">
        <f t="shared" si="5"/>
        <v>0.1185099999999996</v>
      </c>
    </row>
    <row r="99" spans="1:11" x14ac:dyDescent="0.2">
      <c r="A99" s="11" t="s">
        <v>102</v>
      </c>
      <c r="B99" s="11">
        <v>0.42227397694643487</v>
      </c>
      <c r="C99" s="11">
        <v>0.47579133811542673</v>
      </c>
      <c r="D99" s="11">
        <v>0.10193468493813827</v>
      </c>
      <c r="E99" s="11">
        <f t="shared" si="3"/>
        <v>0.99999999999999989</v>
      </c>
      <c r="F99" s="11">
        <f t="shared" si="4"/>
        <v>0.1192399999999996</v>
      </c>
      <c r="G99" s="11">
        <f t="array" ref="G99">SQRT(MMULT(B99:D99,MMULT($B$3:$D$5,TRANSPOSE(B99:D99))))</f>
        <v>0.12207354104007818</v>
      </c>
      <c r="H99" s="11">
        <f t="array" ref="H99">MMULT(B99:D99,TRANSPOSE($G$3:$I$3))</f>
        <v>0.11924000979746414</v>
      </c>
      <c r="J99" s="11">
        <v>0.12207354104007818</v>
      </c>
      <c r="K99" s="11">
        <f t="shared" si="5"/>
        <v>0.1192399999999996</v>
      </c>
    </row>
    <row r="100" spans="1:11" x14ac:dyDescent="0.2">
      <c r="A100" s="11" t="s">
        <v>103</v>
      </c>
      <c r="B100" s="11">
        <v>0.42948215680160784</v>
      </c>
      <c r="C100" s="11">
        <v>0.47844807934980677</v>
      </c>
      <c r="D100" s="11">
        <v>9.2069763848585229E-2</v>
      </c>
      <c r="E100" s="11">
        <f t="shared" si="3"/>
        <v>0.99999999999999978</v>
      </c>
      <c r="F100" s="11">
        <f t="shared" si="4"/>
        <v>0.11996999999999959</v>
      </c>
      <c r="G100" s="11">
        <f t="array" ref="G100">SQRT(MMULT(B100:D100,MMULT($B$3:$D$5,TRANSPOSE(B100:D100))))</f>
        <v>0.12312442877757579</v>
      </c>
      <c r="H100" s="11">
        <f t="array" ref="H100">MMULT(B100:D100,TRANSPOSE($G$3:$I$3))</f>
        <v>0.11997000979319765</v>
      </c>
      <c r="J100" s="11">
        <v>0.12312442877757579</v>
      </c>
      <c r="K100" s="11">
        <f t="shared" si="5"/>
        <v>0.11996999999999959</v>
      </c>
    </row>
    <row r="101" spans="1:11" x14ac:dyDescent="0.2">
      <c r="A101" s="11" t="s">
        <v>104</v>
      </c>
      <c r="B101" s="11">
        <v>0.43669033665801049</v>
      </c>
      <c r="C101" s="11">
        <v>0.48110482058286641</v>
      </c>
      <c r="D101" s="11">
        <v>8.2204842759122973E-2</v>
      </c>
      <c r="E101" s="11">
        <f t="shared" si="3"/>
        <v>0.99999999999999989</v>
      </c>
      <c r="F101" s="11">
        <f t="shared" si="4"/>
        <v>0.12069999999999959</v>
      </c>
      <c r="G101" s="11">
        <f t="array" ref="G101">SQRT(MMULT(B101:D101,MMULT($B$3:$D$5,TRANSPOSE(B101:D101))))</f>
        <v>0.12418590380804828</v>
      </c>
      <c r="H101" s="11">
        <f t="array" ref="H101">MMULT(B101:D101,TRANSPOSE($G$3:$I$3))</f>
        <v>0.1207000097889312</v>
      </c>
      <c r="J101" s="11">
        <v>0.12418590380804828</v>
      </c>
      <c r="K101" s="11">
        <f t="shared" si="5"/>
        <v>0.12069999999999959</v>
      </c>
    </row>
    <row r="102" spans="1:11" x14ac:dyDescent="0.2">
      <c r="A102" s="11" t="s">
        <v>105</v>
      </c>
      <c r="B102" s="11">
        <v>0.4438985165140647</v>
      </c>
      <c r="C102" s="11">
        <v>0.4837615618163002</v>
      </c>
      <c r="D102" s="11">
        <v>7.2339921669635002E-2</v>
      </c>
      <c r="E102" s="11">
        <f t="shared" si="3"/>
        <v>0.99999999999999989</v>
      </c>
      <c r="F102" s="11">
        <f t="shared" si="4"/>
        <v>0.12142999999999958</v>
      </c>
      <c r="G102" s="11">
        <f t="array" ref="G102">SQRT(MMULT(B102:D102,MMULT($B$3:$D$5,TRANSPOSE(B102:D102))))</f>
        <v>0.12525769697114861</v>
      </c>
      <c r="H102" s="11">
        <f t="array" ref="H102">MMULT(B102:D102,TRANSPOSE($G$3:$I$3))</f>
        <v>0.12143000978466476</v>
      </c>
      <c r="J102" s="11">
        <v>0.12525769697114861</v>
      </c>
      <c r="K102" s="11">
        <f t="shared" si="5"/>
        <v>0.12142999999999958</v>
      </c>
    </row>
    <row r="103" spans="1:11" x14ac:dyDescent="0.2">
      <c r="A103" s="11" t="s">
        <v>106</v>
      </c>
      <c r="B103" s="11">
        <v>0.45110669637042961</v>
      </c>
      <c r="C103" s="11">
        <v>0.48641830304940031</v>
      </c>
      <c r="D103" s="11">
        <v>6.2475000580170061E-2</v>
      </c>
      <c r="E103" s="11">
        <f t="shared" si="3"/>
        <v>1</v>
      </c>
      <c r="F103" s="11">
        <f t="shared" si="4"/>
        <v>0.12215999999999957</v>
      </c>
      <c r="G103" s="11">
        <f t="array" ref="G103">SQRT(MMULT(B103:D103,MMULT($B$3:$D$5,TRANSPOSE(B103:D103))))</f>
        <v>0.12633954566756658</v>
      </c>
      <c r="H103" s="11">
        <f t="array" ref="H103">MMULT(B103:D103,TRANSPOSE($G$3:$I$3))</f>
        <v>0.12216000978039829</v>
      </c>
      <c r="J103" s="11">
        <v>0.12633954566756658</v>
      </c>
      <c r="K103" s="11">
        <f t="shared" si="5"/>
        <v>0.12215999999999957</v>
      </c>
    </row>
    <row r="104" spans="1:11" x14ac:dyDescent="0.2">
      <c r="A104" s="11" t="s">
        <v>107</v>
      </c>
      <c r="B104" s="11">
        <v>0.45831485651368231</v>
      </c>
      <c r="C104" s="11">
        <v>0.48907506545584251</v>
      </c>
      <c r="D104" s="11">
        <v>5.2610078030475051E-2</v>
      </c>
      <c r="E104" s="11">
        <f t="shared" si="3"/>
        <v>0.99999999999999978</v>
      </c>
      <c r="F104" s="11">
        <f t="shared" si="4"/>
        <v>0.12288999999999957</v>
      </c>
      <c r="G104" s="11">
        <f t="array" ref="G104">SQRT(MMULT(B104:D104,MMULT($B$3:$D$5,TRANSPOSE(B104:D104))))</f>
        <v>0.12743119379310147</v>
      </c>
      <c r="H104" s="11">
        <f t="array" ref="H104">MMULT(B104:D104,TRANSPOSE($G$3:$I$3))</f>
        <v>0.12289000977613178</v>
      </c>
      <c r="J104" s="11">
        <v>0.12743119379310147</v>
      </c>
      <c r="K104" s="11">
        <f t="shared" si="5"/>
        <v>0.12288999999999957</v>
      </c>
    </row>
    <row r="105" spans="1:11" x14ac:dyDescent="0.2">
      <c r="A105" s="11" t="s">
        <v>108</v>
      </c>
      <c r="B105" s="11">
        <v>0.46552305608161576</v>
      </c>
      <c r="C105" s="11">
        <v>0.49173178551725821</v>
      </c>
      <c r="D105" s="11">
        <v>4.2745158401125971E-2</v>
      </c>
      <c r="E105" s="11">
        <f t="shared" si="3"/>
        <v>1</v>
      </c>
      <c r="F105" s="11">
        <f t="shared" si="4"/>
        <v>0.12361999999999956</v>
      </c>
      <c r="G105" s="11">
        <f t="array" ref="G105">SQRT(MMULT(B105:D105,MMULT($B$3:$D$5,TRANSPOSE(B105:D105))))</f>
        <v>0.12853239166318972</v>
      </c>
      <c r="H105" s="11">
        <f t="array" ref="H105">MMULT(B105:D105,TRANSPOSE($G$3:$I$3))</f>
        <v>0.12362000977186535</v>
      </c>
      <c r="J105" s="11">
        <v>0.12853239166318972</v>
      </c>
      <c r="K105" s="11">
        <f t="shared" si="5"/>
        <v>0.12361999999999956</v>
      </c>
    </row>
    <row r="106" spans="1:11" x14ac:dyDescent="0.2">
      <c r="A106" s="11" t="s">
        <v>109</v>
      </c>
      <c r="B106" s="11">
        <v>0.47273122232396397</v>
      </c>
      <c r="C106" s="11">
        <v>0.49438854137282046</v>
      </c>
      <c r="D106" s="11">
        <v>3.2880236303215495E-2</v>
      </c>
      <c r="E106" s="11">
        <f t="shared" si="3"/>
        <v>0.99999999999999989</v>
      </c>
      <c r="F106" s="11">
        <f t="shared" si="4"/>
        <v>0.12434999999999956</v>
      </c>
      <c r="G106" s="11">
        <f t="array" ref="G106">SQRT(MMULT(B106:D106,MMULT($B$3:$D$5,TRANSPOSE(B106:D106))))</f>
        <v>0.12964289592901351</v>
      </c>
      <c r="H106" s="11">
        <f t="array" ref="H106">MMULT(B106:D106,TRANSPOSE($G$3:$I$3))</f>
        <v>0.12435000976759887</v>
      </c>
      <c r="J106" s="11">
        <v>0.12964289592901351</v>
      </c>
      <c r="K106" s="11">
        <f t="shared" si="5"/>
        <v>0.12434999999999956</v>
      </c>
    </row>
    <row r="107" spans="1:11" x14ac:dyDescent="0.2">
      <c r="A107" s="11" t="s">
        <v>110</v>
      </c>
      <c r="B107" s="11">
        <v>0.4799394157916248</v>
      </c>
      <c r="C107" s="11">
        <v>0.49704526798638055</v>
      </c>
      <c r="D107" s="11">
        <v>2.3015316221994493E-2</v>
      </c>
      <c r="E107" s="11">
        <f t="shared" si="3"/>
        <v>0.99999999999999989</v>
      </c>
      <c r="F107" s="11">
        <f t="shared" si="4"/>
        <v>0.12507999999999955</v>
      </c>
      <c r="G107" s="11">
        <f t="array" ref="G107">SQRT(MMULT(B107:D107,MMULT($B$3:$D$5,TRANSPOSE(B107:D107))))</f>
        <v>0.13076246948623763</v>
      </c>
      <c r="H107" s="11">
        <f t="array" ref="H107">MMULT(B107:D107,TRANSPOSE($G$3:$I$3))</f>
        <v>0.12508000976333239</v>
      </c>
      <c r="J107" s="11">
        <v>0.13076246948623763</v>
      </c>
      <c r="K107" s="11">
        <f t="shared" si="5"/>
        <v>0.12507999999999955</v>
      </c>
    </row>
    <row r="108" spans="1:11" x14ac:dyDescent="0.2">
      <c r="A108" s="11" t="s">
        <v>111</v>
      </c>
      <c r="B108" s="11">
        <v>0.48714759564069443</v>
      </c>
      <c r="C108" s="11">
        <v>0.49970200922731645</v>
      </c>
      <c r="D108" s="11">
        <v>1.3150395131989078E-2</v>
      </c>
      <c r="E108" s="11">
        <f t="shared" si="3"/>
        <v>1</v>
      </c>
      <c r="F108" s="11">
        <f t="shared" si="4"/>
        <v>0.12580999999999956</v>
      </c>
      <c r="G108" s="11">
        <f t="array" ref="G108">SQRT(MMULT(B108:D108,MMULT($B$3:$D$5,TRANSPOSE(B108:D108))))</f>
        <v>0.13189088137735006</v>
      </c>
      <c r="H108" s="11">
        <f t="array" ref="H108">MMULT(B108:D108,TRANSPOSE($G$3:$I$3))</f>
        <v>0.12581000975906598</v>
      </c>
      <c r="J108" s="11">
        <v>0.13189088137735006</v>
      </c>
      <c r="K108" s="11">
        <f t="shared" si="5"/>
        <v>0.12580999999999956</v>
      </c>
    </row>
    <row r="109" spans="1:11" x14ac:dyDescent="0.2">
      <c r="A109" s="11" t="s">
        <v>112</v>
      </c>
      <c r="B109" s="11">
        <v>0.49435577548995896</v>
      </c>
      <c r="C109" s="11">
        <v>0.5023587504680429</v>
      </c>
      <c r="D109" s="11">
        <v>3.2854740419980509E-3</v>
      </c>
      <c r="E109" s="11">
        <f t="shared" si="3"/>
        <v>1</v>
      </c>
      <c r="F109" s="11">
        <f t="shared" si="4"/>
        <v>0.12653999999999957</v>
      </c>
      <c r="G109" s="11">
        <f t="array" ref="G109">SQRT(MMULT(B109:D109,MMULT($B$3:$D$5,TRANSPOSE(B109:D109))))</f>
        <v>0.13302790668850656</v>
      </c>
      <c r="H109" s="11">
        <f t="array" ref="H109">MMULT(B109:D109,TRANSPOSE($G$3:$I$3))</f>
        <v>0.12654000975479951</v>
      </c>
      <c r="J109" s="11">
        <v>0.13302790668850656</v>
      </c>
      <c r="K109" s="11">
        <f t="shared" si="5"/>
        <v>0.12653999999999957</v>
      </c>
    </row>
    <row r="110" spans="1:11" x14ac:dyDescent="0.2">
      <c r="A110" s="11" t="s">
        <v>113</v>
      </c>
      <c r="B110" s="11">
        <v>0.5903865140547736</v>
      </c>
      <c r="C110" s="14">
        <v>0.4096134859452264</v>
      </c>
      <c r="D110" s="14">
        <v>0</v>
      </c>
      <c r="E110" s="14">
        <f t="shared" si="3"/>
        <v>1</v>
      </c>
      <c r="F110" s="11">
        <f t="shared" si="4"/>
        <v>0.12726999999999958</v>
      </c>
      <c r="G110" s="14">
        <f t="array" ref="G110">SQRT(MMULT(B110:D110,MMULT($B$3:$D$5,TRANSPOSE(B110:D110))))</f>
        <v>0.13471546949721289</v>
      </c>
      <c r="H110" s="14">
        <f t="array" ref="H110">MMULT(B110:D110,TRANSPOSE($G$3:$I$3))</f>
        <v>0.12727000987308482</v>
      </c>
      <c r="J110" s="14">
        <v>0.13471546949721289</v>
      </c>
      <c r="K110" s="11">
        <f t="shared" si="5"/>
        <v>0.12726999999999958</v>
      </c>
    </row>
    <row r="111" spans="1:11" x14ac:dyDescent="0.2">
      <c r="A111" s="11" t="s">
        <v>133</v>
      </c>
      <c r="B111" s="11">
        <v>0.73077115384615687</v>
      </c>
      <c r="C111" s="11">
        <v>0.26922884615384313</v>
      </c>
      <c r="D111" s="11">
        <v>0</v>
      </c>
      <c r="E111" s="11">
        <f t="shared" si="3"/>
        <v>1</v>
      </c>
      <c r="F111" s="11">
        <f t="shared" si="4"/>
        <v>0.12799999999999959</v>
      </c>
      <c r="G111" s="11">
        <f t="array" ref="G111">SQRT(MMULT(B111:D111,MMULT($B$3:$D$5,TRANSPOSE(B111:D111))))</f>
        <v>0.13865066789069574</v>
      </c>
      <c r="H111" s="11">
        <f t="array" ref="H111">MMULT(B111:D111,TRANSPOSE($G$3:$I$3))</f>
        <v>0.12800001</v>
      </c>
      <c r="J111" s="11">
        <v>0.13865066789069574</v>
      </c>
      <c r="K111" s="11">
        <f t="shared" si="5"/>
        <v>0.12799999999999959</v>
      </c>
    </row>
  </sheetData>
  <mergeCells count="7">
    <mergeCell ref="J9:K9"/>
    <mergeCell ref="A1:D1"/>
    <mergeCell ref="K2:O2"/>
    <mergeCell ref="L5:O5"/>
    <mergeCell ref="L6:O6"/>
    <mergeCell ref="L7:O7"/>
    <mergeCell ref="A9:H9"/>
  </mergeCells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S110"/>
  <sheetViews>
    <sheetView workbookViewId="0">
      <selection activeCell="S2" sqref="S2:S4"/>
    </sheetView>
  </sheetViews>
  <sheetFormatPr baseColWidth="10" defaultRowHeight="16" x14ac:dyDescent="0.2"/>
  <cols>
    <col min="1" max="1" width="13.6640625" style="2" bestFit="1" customWidth="1"/>
    <col min="2" max="2" width="12.5" style="2" bestFit="1" customWidth="1"/>
    <col min="3" max="3" width="13.6640625" style="2" bestFit="1" customWidth="1"/>
    <col min="4" max="5" width="12.5" style="2" bestFit="1" customWidth="1"/>
    <col min="6" max="6" width="10.83203125" style="2"/>
    <col min="7" max="7" width="12.5" style="2" bestFit="1" customWidth="1"/>
    <col min="8" max="9" width="17.33203125" style="2" bestFit="1" customWidth="1"/>
    <col min="10" max="10" width="13.6640625" style="2" bestFit="1" customWidth="1"/>
    <col min="11" max="11" width="12.5" style="2" bestFit="1" customWidth="1"/>
    <col min="12" max="12" width="12.5" style="2" customWidth="1"/>
    <col min="13" max="16384" width="10.83203125" style="2"/>
  </cols>
  <sheetData>
    <row r="1" spans="1:19" x14ac:dyDescent="0.2">
      <c r="A1" s="20" t="s">
        <v>122</v>
      </c>
      <c r="B1" s="20"/>
      <c r="C1" s="20"/>
      <c r="D1" s="20"/>
      <c r="E1" s="20"/>
      <c r="H1" s="21" t="s">
        <v>124</v>
      </c>
      <c r="I1" s="22"/>
      <c r="J1" s="22"/>
      <c r="K1" s="22"/>
      <c r="L1" s="22"/>
      <c r="M1" s="23"/>
    </row>
    <row r="2" spans="1:19" x14ac:dyDescent="0.2">
      <c r="A2" s="3" t="s">
        <v>123</v>
      </c>
      <c r="B2" s="3" t="s">
        <v>3</v>
      </c>
      <c r="C2" s="3" t="s">
        <v>4</v>
      </c>
      <c r="D2" s="3" t="s">
        <v>5</v>
      </c>
      <c r="E2" s="3" t="s">
        <v>6</v>
      </c>
      <c r="H2" s="3" t="s">
        <v>125</v>
      </c>
      <c r="I2" s="3" t="s">
        <v>3</v>
      </c>
      <c r="J2" s="3" t="s">
        <v>4</v>
      </c>
      <c r="K2" s="3" t="s">
        <v>5</v>
      </c>
      <c r="L2" s="3" t="s">
        <v>6</v>
      </c>
      <c r="M2" s="3" t="s">
        <v>13</v>
      </c>
      <c r="O2" s="4" t="s">
        <v>0</v>
      </c>
      <c r="P2" s="4" t="s">
        <v>3</v>
      </c>
      <c r="Q2" s="4" t="s">
        <v>4</v>
      </c>
      <c r="R2" s="4" t="s">
        <v>5</v>
      </c>
      <c r="S2" s="4" t="s">
        <v>6</v>
      </c>
    </row>
    <row r="3" spans="1:19" x14ac:dyDescent="0.2">
      <c r="A3" s="3" t="s">
        <v>3</v>
      </c>
      <c r="B3" s="3">
        <v>2.3134410000000005E-2</v>
      </c>
      <c r="C3" s="3">
        <v>1.3617208800000002E-2</v>
      </c>
      <c r="D3" s="3">
        <v>4.2207750000000004E-3</v>
      </c>
      <c r="E3" s="3">
        <v>1.1532830400000001E-2</v>
      </c>
      <c r="H3" s="3" t="s">
        <v>126</v>
      </c>
      <c r="I3" s="3">
        <v>0.25</v>
      </c>
      <c r="J3" s="3">
        <v>0.25</v>
      </c>
      <c r="K3" s="3">
        <v>0.25</v>
      </c>
      <c r="L3" s="3">
        <v>0.25</v>
      </c>
      <c r="M3" s="3">
        <f>SUM(I3:L3)</f>
        <v>1</v>
      </c>
      <c r="O3" s="4" t="s">
        <v>1</v>
      </c>
      <c r="P3" s="4">
        <v>0.12939999999999999</v>
      </c>
      <c r="Q3" s="4">
        <v>0.1242</v>
      </c>
      <c r="R3" s="4">
        <v>5.3999999999999999E-2</v>
      </c>
      <c r="S3" s="4">
        <v>9.4399999999999998E-2</v>
      </c>
    </row>
    <row r="4" spans="1:19" x14ac:dyDescent="0.2">
      <c r="A4" s="3" t="s">
        <v>4</v>
      </c>
      <c r="B4" s="3">
        <v>1.3617208800000001E-2</v>
      </c>
      <c r="C4" s="3">
        <v>2.0851359999999999E-2</v>
      </c>
      <c r="D4" s="3">
        <v>9.6170399999999997E-4</v>
      </c>
      <c r="E4" s="3">
        <v>7.8207039999999995E-3</v>
      </c>
      <c r="H4" s="3" t="s">
        <v>128</v>
      </c>
      <c r="I4" s="21">
        <f t="array" ref="I4">MMULT(I3:L3,TRANSPOSE(P3:S3))</f>
        <v>0.10049999999999999</v>
      </c>
      <c r="J4" s="22"/>
      <c r="K4" s="22"/>
      <c r="L4" s="22"/>
      <c r="M4" s="23"/>
      <c r="O4" s="4" t="s">
        <v>2</v>
      </c>
      <c r="P4" s="4">
        <v>0.15210000000000001</v>
      </c>
      <c r="Q4" s="4">
        <v>0.1444</v>
      </c>
      <c r="R4" s="4">
        <v>0.111</v>
      </c>
      <c r="S4" s="4">
        <v>0.13539999999999999</v>
      </c>
    </row>
    <row r="5" spans="1:19" x14ac:dyDescent="0.2">
      <c r="A5" s="3" t="s">
        <v>5</v>
      </c>
      <c r="B5" s="3">
        <v>4.2207750000000004E-3</v>
      </c>
      <c r="C5" s="3">
        <v>9.6170400000000007E-4</v>
      </c>
      <c r="D5" s="3">
        <v>1.2321E-2</v>
      </c>
      <c r="E5" s="3">
        <v>2.4047040000000001E-3</v>
      </c>
      <c r="H5" s="3" t="s">
        <v>129</v>
      </c>
      <c r="I5" s="21">
        <f t="array" ref="I5">SQRT(MMULT(I3:L3,MMULT(B3:E6,TRANSPOSE(I3:L3))))</f>
        <v>9.8664767774520212E-2</v>
      </c>
      <c r="J5" s="22"/>
      <c r="K5" s="22"/>
      <c r="L5" s="22"/>
      <c r="M5" s="23"/>
    </row>
    <row r="6" spans="1:19" x14ac:dyDescent="0.2">
      <c r="A6" s="3" t="s">
        <v>6</v>
      </c>
      <c r="B6" s="3">
        <v>1.1532830400000001E-2</v>
      </c>
      <c r="C6" s="3">
        <v>7.8207039999999995E-3</v>
      </c>
      <c r="D6" s="3">
        <v>2.4047040000000001E-3</v>
      </c>
      <c r="E6" s="3">
        <v>1.8333159999999998E-2</v>
      </c>
      <c r="H6" s="3" t="s">
        <v>130</v>
      </c>
      <c r="I6" s="21">
        <f>(I4-B7)/I5</f>
        <v>0.69427011835211405</v>
      </c>
      <c r="J6" s="22"/>
      <c r="K6" s="22"/>
      <c r="L6" s="22"/>
      <c r="M6" s="23"/>
    </row>
    <row r="7" spans="1:19" x14ac:dyDescent="0.2">
      <c r="A7" s="16" t="s">
        <v>127</v>
      </c>
      <c r="B7" s="16">
        <v>3.2000000000000001E-2</v>
      </c>
    </row>
    <row r="9" spans="1:19" ht="23" x14ac:dyDescent="0.2">
      <c r="A9" s="17" t="s">
        <v>114</v>
      </c>
      <c r="B9" s="17"/>
      <c r="C9" s="17"/>
      <c r="D9" s="17"/>
      <c r="E9" s="17"/>
      <c r="F9" s="17"/>
      <c r="G9" s="17"/>
      <c r="H9" s="17"/>
      <c r="I9" s="17"/>
      <c r="J9" s="6"/>
    </row>
    <row r="10" spans="1:19" x14ac:dyDescent="0.2">
      <c r="A10" s="4"/>
      <c r="B10" s="4" t="s">
        <v>3</v>
      </c>
      <c r="C10" s="4" t="s">
        <v>4</v>
      </c>
      <c r="D10" s="4" t="s">
        <v>5</v>
      </c>
      <c r="E10" s="4" t="s">
        <v>6</v>
      </c>
      <c r="F10" s="7" t="s">
        <v>13</v>
      </c>
      <c r="G10" s="3" t="s">
        <v>8</v>
      </c>
      <c r="H10" s="3" t="s">
        <v>9</v>
      </c>
      <c r="I10" s="3" t="s">
        <v>115</v>
      </c>
    </row>
    <row r="11" spans="1:19" x14ac:dyDescent="0.2">
      <c r="A11" s="3" t="s">
        <v>15</v>
      </c>
      <c r="B11" s="3">
        <v>0</v>
      </c>
      <c r="C11" s="3">
        <v>0</v>
      </c>
      <c r="D11" s="3">
        <v>0.97524748487102664</v>
      </c>
      <c r="E11" s="3">
        <v>2.475252492546624E-2</v>
      </c>
      <c r="F11" s="3">
        <f>SUM(B11:E11)</f>
        <v>1.000000009796493</v>
      </c>
      <c r="G11" s="4">
        <v>5.5E-2</v>
      </c>
      <c r="H11" s="3">
        <f t="array" ref="H11">SQRT(MMULT(B11:E11,MMULT($B$3:$E$6,TRANSPOSE(B11:E11))))</f>
        <v>0.10883900158039289</v>
      </c>
      <c r="I11" s="3">
        <f t="array" ref="I11">MMULT(B11:E11,TRANSPOSE($P$3:$S$3))</f>
        <v>5.5000002535999452E-2</v>
      </c>
    </row>
    <row r="12" spans="1:19" x14ac:dyDescent="0.2">
      <c r="A12" s="3" t="s">
        <v>132</v>
      </c>
      <c r="B12" s="3">
        <v>0</v>
      </c>
      <c r="C12" s="3">
        <v>0</v>
      </c>
      <c r="D12" s="3">
        <v>0.95792075219775918</v>
      </c>
      <c r="E12" s="3">
        <v>4.2079257598733689E-2</v>
      </c>
      <c r="F12" s="3">
        <f t="shared" ref="F12:F75" si="0">SUM(B12:E12)</f>
        <v>1.000000009796493</v>
      </c>
      <c r="G12" s="4">
        <f>G11+0.0007</f>
        <v>5.57E-2</v>
      </c>
      <c r="H12" s="3">
        <f t="array" ref="H12">SQRT(MMULT(B12:E12,MMULT($B$3:$E$6,TRANSPOSE(B12:E12))))</f>
        <v>0.10738818303472843</v>
      </c>
      <c r="I12" s="3">
        <f t="array" ref="I12">MMULT(B12:E12,TRANSPOSE($P$3:$S$3))</f>
        <v>5.5700002535999452E-2</v>
      </c>
    </row>
    <row r="13" spans="1:19" x14ac:dyDescent="0.2">
      <c r="A13" s="3" t="s">
        <v>16</v>
      </c>
      <c r="B13" s="3">
        <v>-9.9999999947364415E-9</v>
      </c>
      <c r="C13" s="3">
        <v>-9.9999999947364415E-9</v>
      </c>
      <c r="D13" s="3">
        <v>0.94059404336635</v>
      </c>
      <c r="E13" s="3">
        <v>5.9405976633650048E-2</v>
      </c>
      <c r="F13" s="3">
        <f t="shared" si="0"/>
        <v>1</v>
      </c>
      <c r="G13" s="4">
        <f t="shared" ref="G13:G76" si="1">G12+0.0007</f>
        <v>5.6399999999999999E-2</v>
      </c>
      <c r="H13" s="3">
        <f t="array" ref="H13">SQRT(MMULT(B13:E13,MMULT($B$3:$E$6,TRANSPOSE(B13:E13))))</f>
        <v>0.10599072502978465</v>
      </c>
      <c r="I13" s="3">
        <f t="array" ref="I13">MMULT(B13:E13,TRANSPOSE($P$3:$S$3))</f>
        <v>5.6399999999999464E-2</v>
      </c>
    </row>
    <row r="14" spans="1:19" x14ac:dyDescent="0.2">
      <c r="A14" s="3" t="s">
        <v>17</v>
      </c>
      <c r="B14" s="3">
        <v>-9.9999999947364415E-9</v>
      </c>
      <c r="C14" s="3">
        <v>-9.9999999947364415E-9</v>
      </c>
      <c r="D14" s="3">
        <v>0.92326731069308265</v>
      </c>
      <c r="E14" s="3">
        <v>7.673270930691739E-2</v>
      </c>
      <c r="F14" s="3">
        <f t="shared" si="0"/>
        <v>1</v>
      </c>
      <c r="G14" s="4">
        <f t="shared" si="1"/>
        <v>5.7099999999999998E-2</v>
      </c>
      <c r="H14" s="3">
        <f t="array" ref="H14">SQRT(MMULT(B14:E14,MMULT($B$3:$E$6,TRANSPOSE(B14:E14))))</f>
        <v>0.10464876186481423</v>
      </c>
      <c r="I14" s="3">
        <f t="array" ref="I14">MMULT(B14:E14,TRANSPOSE($P$3:$S$3))</f>
        <v>5.7099999999999464E-2</v>
      </c>
    </row>
    <row r="15" spans="1:19" x14ac:dyDescent="0.2">
      <c r="A15" s="3" t="s">
        <v>18</v>
      </c>
      <c r="B15" s="3">
        <v>-9.9999999947364415E-9</v>
      </c>
      <c r="C15" s="3">
        <v>-9.9999999947364415E-9</v>
      </c>
      <c r="D15" s="3">
        <v>0.9059405780198152</v>
      </c>
      <c r="E15" s="3">
        <v>9.4059441980184844E-2</v>
      </c>
      <c r="F15" s="3">
        <f t="shared" si="0"/>
        <v>1</v>
      </c>
      <c r="G15" s="4">
        <f t="shared" si="1"/>
        <v>5.7799999999999997E-2</v>
      </c>
      <c r="H15" s="3">
        <f t="array" ref="H15">SQRT(MMULT(B15:E15,MMULT($B$3:$E$6,TRANSPOSE(B15:E15))))</f>
        <v>0.10336445678356472</v>
      </c>
      <c r="I15" s="3">
        <f t="array" ref="I15">MMULT(B15:E15,TRANSPOSE($P$3:$S$3))</f>
        <v>5.7799999999999463E-2</v>
      </c>
    </row>
    <row r="16" spans="1:19" x14ac:dyDescent="0.2">
      <c r="A16" s="3" t="s">
        <v>19</v>
      </c>
      <c r="B16" s="3">
        <v>-9.9999999947364415E-9</v>
      </c>
      <c r="C16" s="3">
        <v>-9.9999999947364415E-9</v>
      </c>
      <c r="D16" s="3">
        <v>0.88861384534654786</v>
      </c>
      <c r="E16" s="3">
        <v>0.11138617465345213</v>
      </c>
      <c r="F16" s="3">
        <f t="shared" si="0"/>
        <v>1</v>
      </c>
      <c r="G16" s="4">
        <f t="shared" si="1"/>
        <v>5.8499999999999996E-2</v>
      </c>
      <c r="H16" s="3">
        <f t="array" ref="H16">SQRT(MMULT(B16:E16,MMULT($B$3:$E$6,TRANSPOSE(B16:E16))))</f>
        <v>0.10213998478219923</v>
      </c>
      <c r="I16" s="3">
        <f t="array" ref="I16">MMULT(B16:E16,TRANSPOSE($P$3:$S$3))</f>
        <v>5.8499999999999462E-2</v>
      </c>
    </row>
    <row r="17" spans="1:9" x14ac:dyDescent="0.2">
      <c r="A17" s="3" t="s">
        <v>20</v>
      </c>
      <c r="B17" s="3">
        <v>-9.9999999947364415E-9</v>
      </c>
      <c r="C17" s="3">
        <v>-9.9999999947364415E-9</v>
      </c>
      <c r="D17" s="3">
        <v>0.87128711267328063</v>
      </c>
      <c r="E17" s="3">
        <v>0.12871290732671942</v>
      </c>
      <c r="F17" s="3">
        <f t="shared" si="0"/>
        <v>1</v>
      </c>
      <c r="G17" s="4">
        <f t="shared" si="1"/>
        <v>5.9199999999999996E-2</v>
      </c>
      <c r="H17" s="3">
        <f t="array" ref="H17">SQRT(MMULT(B17:E17,MMULT($B$3:$E$6,TRANSPOSE(B17:E17))))</f>
        <v>0.10097752252495602</v>
      </c>
      <c r="I17" s="3">
        <f t="array" ref="I17">MMULT(B17:E17,TRANSPOSE($P$3:$S$3))</f>
        <v>5.9199999999999461E-2</v>
      </c>
    </row>
    <row r="18" spans="1:9" x14ac:dyDescent="0.2">
      <c r="A18" s="3" t="s">
        <v>21</v>
      </c>
      <c r="B18" s="3">
        <v>-9.9999999947364415E-9</v>
      </c>
      <c r="C18" s="3">
        <v>-9.9999999947364415E-9</v>
      </c>
      <c r="D18" s="3">
        <v>0.85396038000001318</v>
      </c>
      <c r="E18" s="3">
        <v>0.14603963999998693</v>
      </c>
      <c r="F18" s="3">
        <f t="shared" si="0"/>
        <v>1</v>
      </c>
      <c r="G18" s="4">
        <f t="shared" si="1"/>
        <v>5.9899999999999995E-2</v>
      </c>
      <c r="H18" s="3">
        <f t="array" ref="H18">SQRT(MMULT(B18:E18,MMULT($B$3:$E$6,TRANSPOSE(B18:E18))))</f>
        <v>9.9879235169637523E-2</v>
      </c>
      <c r="I18" s="3">
        <f t="array" ref="I18">MMULT(B18:E18,TRANSPOSE($P$3:$S$3))</f>
        <v>5.9899999999999474E-2</v>
      </c>
    </row>
    <row r="19" spans="1:9" x14ac:dyDescent="0.2">
      <c r="A19" s="3" t="s">
        <v>22</v>
      </c>
      <c r="B19" s="3">
        <v>-9.9999999947364415E-9</v>
      </c>
      <c r="C19" s="3">
        <v>-9.9999999947364415E-9</v>
      </c>
      <c r="D19" s="3">
        <v>0.83663389485148543</v>
      </c>
      <c r="E19" s="3">
        <v>0.16336612514851473</v>
      </c>
      <c r="F19" s="3">
        <f t="shared" si="0"/>
        <v>1.0000000000000002</v>
      </c>
      <c r="G19" s="4">
        <f t="shared" si="1"/>
        <v>6.0599999999999994E-2</v>
      </c>
      <c r="H19" s="3">
        <f t="array" ref="H19">SQRT(MMULT(B19:E19,MMULT($B$3:$E$6,TRANSPOSE(B19:E19))))</f>
        <v>9.8847276131253603E-2</v>
      </c>
      <c r="I19" s="3">
        <f t="array" ref="I19">MMULT(B19:E19,TRANSPOSE($P$3:$S$3))</f>
        <v>6.0599990000000006E-2</v>
      </c>
    </row>
    <row r="20" spans="1:9" x14ac:dyDescent="0.2">
      <c r="A20" s="3" t="s">
        <v>23</v>
      </c>
      <c r="B20" s="3">
        <v>-9.9999999947364415E-9</v>
      </c>
      <c r="C20" s="3">
        <v>-9.9999999947364415E-9</v>
      </c>
      <c r="D20" s="3">
        <v>0.81930691465347871</v>
      </c>
      <c r="E20" s="3">
        <v>0.18069310534652136</v>
      </c>
      <c r="F20" s="3">
        <f t="shared" si="0"/>
        <v>1</v>
      </c>
      <c r="G20" s="4">
        <f t="shared" si="1"/>
        <v>6.1299999999999993E-2</v>
      </c>
      <c r="H20" s="3">
        <f t="array" ref="H20">SQRT(MMULT(B20:E20,MMULT($B$3:$E$6,TRANSPOSE(B20:E20))))</f>
        <v>9.788370007376207E-2</v>
      </c>
      <c r="I20" s="3">
        <f t="array" ref="I20">MMULT(B20:E20,TRANSPOSE($P$3:$S$3))</f>
        <v>6.1299999999999466E-2</v>
      </c>
    </row>
    <row r="21" spans="1:9" x14ac:dyDescent="0.2">
      <c r="A21" s="3" t="s">
        <v>24</v>
      </c>
      <c r="B21" s="3">
        <v>-9.9999999947364415E-9</v>
      </c>
      <c r="C21" s="3">
        <v>-9.9999999947364415E-9</v>
      </c>
      <c r="D21" s="3">
        <v>0.80198018198021137</v>
      </c>
      <c r="E21" s="3">
        <v>0.19801983801978865</v>
      </c>
      <c r="F21" s="3">
        <f t="shared" si="0"/>
        <v>1</v>
      </c>
      <c r="G21" s="4">
        <f t="shared" si="1"/>
        <v>6.1999999999999993E-2</v>
      </c>
      <c r="H21" s="3">
        <f t="array" ref="H21">SQRT(MMULT(B21:E21,MMULT($B$3:$E$6,TRANSPOSE(B21:E21))))</f>
        <v>9.699058871558057E-2</v>
      </c>
      <c r="I21" s="3">
        <f t="array" ref="I21">MMULT(B21:E21,TRANSPOSE($P$3:$S$3))</f>
        <v>6.1999999999999458E-2</v>
      </c>
    </row>
    <row r="22" spans="1:9" x14ac:dyDescent="0.2">
      <c r="A22" s="3" t="s">
        <v>25</v>
      </c>
      <c r="B22" s="3">
        <v>-9.9999999947364415E-9</v>
      </c>
      <c r="C22" s="3">
        <v>3.6653521309082731E-3</v>
      </c>
      <c r="D22" s="3">
        <v>0.78735735469415191</v>
      </c>
      <c r="E22" s="3">
        <v>0.2089773031749399</v>
      </c>
      <c r="F22" s="3">
        <f t="shared" si="0"/>
        <v>1</v>
      </c>
      <c r="G22" s="4">
        <f t="shared" si="1"/>
        <v>6.2699999999999992E-2</v>
      </c>
      <c r="H22" s="3">
        <f t="array" ref="H22">SQRT(MMULT(B22:E22,MMULT($B$3:$E$6,TRANSPOSE(B22:E22))))</f>
        <v>9.6166340467029196E-2</v>
      </c>
      <c r="I22" s="3">
        <f t="array" ref="I22">MMULT(B22:E22,TRANSPOSE($P$3:$S$3))</f>
        <v>6.2699990013857329E-2</v>
      </c>
    </row>
    <row r="23" spans="1:9" x14ac:dyDescent="0.2">
      <c r="A23" s="3" t="s">
        <v>26</v>
      </c>
      <c r="B23" s="3">
        <v>-9.9999999947364415E-9</v>
      </c>
      <c r="C23" s="3">
        <v>1.3226186307249817E-2</v>
      </c>
      <c r="D23" s="3">
        <v>0.77708291960279396</v>
      </c>
      <c r="E23" s="3">
        <v>0.20969090408995628</v>
      </c>
      <c r="F23" s="3">
        <f t="shared" si="0"/>
        <v>1</v>
      </c>
      <c r="G23" s="4">
        <f t="shared" si="1"/>
        <v>6.3399999999999998E-2</v>
      </c>
      <c r="H23" s="3">
        <f t="array" ref="H23">SQRT(MMULT(B23:E23,MMULT($B$3:$E$6,TRANSPOSE(B23:E23))))</f>
        <v>9.5376739763108759E-2</v>
      </c>
      <c r="I23" s="3">
        <f t="array" ref="I23">MMULT(B23:E23,TRANSPOSE($P$3:$S$3))</f>
        <v>6.3399990050003172E-2</v>
      </c>
    </row>
    <row r="24" spans="1:9" x14ac:dyDescent="0.2">
      <c r="A24" s="3" t="s">
        <v>27</v>
      </c>
      <c r="B24" s="3">
        <v>-9.9999999947364415E-9</v>
      </c>
      <c r="C24" s="3">
        <v>2.2787020496057738E-2</v>
      </c>
      <c r="D24" s="3">
        <v>0.76680848452063133</v>
      </c>
      <c r="E24" s="3">
        <v>0.21040450498331115</v>
      </c>
      <c r="F24" s="3">
        <f t="shared" si="0"/>
        <v>1.0000000000000002</v>
      </c>
      <c r="G24" s="4">
        <f t="shared" si="1"/>
        <v>6.4100000000000004E-2</v>
      </c>
      <c r="H24" s="3">
        <f t="array" ref="H24">SQRT(MMULT(B24:E24,MMULT($B$3:$E$6,TRANSPOSE(B24:E24))))</f>
        <v>9.4613302287167703E-2</v>
      </c>
      <c r="I24" s="3">
        <f t="array" ref="I24">MMULT(B24:E24,TRANSPOSE($P$3:$S$3))</f>
        <v>6.4099990086149042E-2</v>
      </c>
    </row>
    <row r="25" spans="1:9" x14ac:dyDescent="0.2">
      <c r="A25" s="3" t="s">
        <v>28</v>
      </c>
      <c r="B25" s="3">
        <v>-9.9999999947364415E-9</v>
      </c>
      <c r="C25" s="3">
        <v>3.2347854688896567E-2</v>
      </c>
      <c r="D25" s="3">
        <v>0.75653404944144209</v>
      </c>
      <c r="E25" s="3">
        <v>0.2111181058696614</v>
      </c>
      <c r="F25" s="3">
        <f t="shared" si="0"/>
        <v>1</v>
      </c>
      <c r="G25" s="4">
        <f t="shared" si="1"/>
        <v>6.480000000000001E-2</v>
      </c>
      <c r="H25" s="3">
        <f t="array" ref="H25">SQRT(MMULT(B25:E25,MMULT($B$3:$E$6,TRANSPOSE(B25:E25))))</f>
        <v>9.3876666346596319E-2</v>
      </c>
      <c r="I25" s="3">
        <f t="array" ref="I25">MMULT(B25:E25,TRANSPOSE($P$3:$S$3))</f>
        <v>6.479999012229487E-2</v>
      </c>
    </row>
    <row r="26" spans="1:9" x14ac:dyDescent="0.2">
      <c r="A26" s="3" t="s">
        <v>29</v>
      </c>
      <c r="B26" s="3">
        <v>-9.9999999947364415E-9</v>
      </c>
      <c r="C26" s="3">
        <v>4.1908688882691968E-2</v>
      </c>
      <c r="D26" s="3">
        <v>0.74625961436295818</v>
      </c>
      <c r="E26" s="3">
        <v>0.2118317067543499</v>
      </c>
      <c r="F26" s="3">
        <f t="shared" si="0"/>
        <v>1</v>
      </c>
      <c r="G26" s="4">
        <f t="shared" si="1"/>
        <v>6.5500000000000017E-2</v>
      </c>
      <c r="H26" s="3">
        <f t="array" ref="H26">SQRT(MMULT(B26:E26,MMULT($B$3:$E$6,TRANSPOSE(B26:E26))))</f>
        <v>9.3167467668931386E-2</v>
      </c>
      <c r="I26" s="3">
        <f t="array" ref="I26">MMULT(B26:E26,TRANSPOSE($P$3:$S$3))</f>
        <v>6.5499990158440713E-2</v>
      </c>
    </row>
    <row r="27" spans="1:9" x14ac:dyDescent="0.2">
      <c r="A27" s="3" t="s">
        <v>30</v>
      </c>
      <c r="B27" s="3">
        <v>-9.9999999947364415E-9</v>
      </c>
      <c r="C27" s="3">
        <v>5.1469523074927859E-2</v>
      </c>
      <c r="D27" s="3">
        <v>0.73598517928332441</v>
      </c>
      <c r="E27" s="3">
        <v>0.21254530764174787</v>
      </c>
      <c r="F27" s="3">
        <f t="shared" si="0"/>
        <v>1.0000000000000002</v>
      </c>
      <c r="G27" s="4">
        <f t="shared" si="1"/>
        <v>6.6200000000000023E-2</v>
      </c>
      <c r="H27" s="3">
        <f t="array" ref="H27">SQRT(MMULT(B27:E27,MMULT($B$3:$E$6,TRANSPOSE(B27:E27))))</f>
        <v>9.2486337435085969E-2</v>
      </c>
      <c r="I27" s="3">
        <f t="array" ref="I27">MMULT(B27:E27,TRANSPOSE($P$3:$S$3))</f>
        <v>6.6199990194586555E-2</v>
      </c>
    </row>
    <row r="28" spans="1:9" x14ac:dyDescent="0.2">
      <c r="A28" s="3" t="s">
        <v>31</v>
      </c>
      <c r="B28" s="3">
        <v>-9.9999999947364415E-9</v>
      </c>
      <c r="C28" s="3">
        <v>6.1030357270815856E-2</v>
      </c>
      <c r="D28" s="3">
        <v>0.72571074420638426</v>
      </c>
      <c r="E28" s="3">
        <v>0.21325890852280008</v>
      </c>
      <c r="F28" s="3">
        <f t="shared" si="0"/>
        <v>1.0000000000000002</v>
      </c>
      <c r="G28" s="4">
        <f t="shared" si="1"/>
        <v>6.6900000000000029E-2</v>
      </c>
      <c r="H28" s="3">
        <f t="array" ref="H28">SQRT(MMULT(B28:E28,MMULT($B$3:$E$6,TRANSPOSE(B28:E28))))</f>
        <v>9.1833900196473195E-2</v>
      </c>
      <c r="I28" s="3">
        <f t="array" ref="I28">MMULT(B28:E28,TRANSPOSE($P$3:$S$3))</f>
        <v>6.6899990230732412E-2</v>
      </c>
    </row>
    <row r="29" spans="1:9" x14ac:dyDescent="0.2">
      <c r="A29" s="3" t="s">
        <v>32</v>
      </c>
      <c r="B29" s="3">
        <v>0</v>
      </c>
      <c r="C29" s="3">
        <v>7.0591186669701961E-2</v>
      </c>
      <c r="D29" s="3">
        <v>0.71543631425442711</v>
      </c>
      <c r="E29" s="3">
        <v>0.2139724990758711</v>
      </c>
      <c r="F29" s="3">
        <f t="shared" si="0"/>
        <v>1.0000000000000002</v>
      </c>
      <c r="G29" s="4">
        <f t="shared" si="1"/>
        <v>6.7600000000000035E-2</v>
      </c>
      <c r="H29" s="3">
        <f t="array" ref="H29">SQRT(MMULT(B29:E29,MMULT($B$3:$E$6,TRANSPOSE(B29:E29))))</f>
        <v>9.1210772016289618E-2</v>
      </c>
      <c r="I29" s="3">
        <f t="array" ref="I29">MMULT(B29:E29,TRANSPOSE($P$3:$S$3))</f>
        <v>6.7599990266878282E-2</v>
      </c>
    </row>
    <row r="30" spans="1:9" x14ac:dyDescent="0.2">
      <c r="A30" s="3" t="s">
        <v>33</v>
      </c>
      <c r="B30" s="3">
        <v>0</v>
      </c>
      <c r="C30" s="3">
        <v>8.0152017154520291E-2</v>
      </c>
      <c r="D30" s="3">
        <v>0.70516187644011419</v>
      </c>
      <c r="E30" s="3">
        <v>0.21468610640536581</v>
      </c>
      <c r="F30" s="3">
        <f t="shared" si="0"/>
        <v>1.0000000000000002</v>
      </c>
      <c r="G30" s="4">
        <f t="shared" si="1"/>
        <v>6.8300000000000041E-2</v>
      </c>
      <c r="H30" s="3">
        <f t="array" ref="H30">SQRT(MMULT(B30:E30,MMULT($B$3:$E$6,TRANSPOSE(B30:E30))))</f>
        <v>9.0617556842669381E-2</v>
      </c>
      <c r="I30" s="3">
        <f t="array" ref="I30">MMULT(B30:E30,TRANSPOSE($P$3:$S$3))</f>
        <v>6.8299990303024125E-2</v>
      </c>
    </row>
    <row r="31" spans="1:9" x14ac:dyDescent="0.2">
      <c r="A31" s="3" t="s">
        <v>34</v>
      </c>
      <c r="B31" s="3">
        <v>0</v>
      </c>
      <c r="C31" s="3">
        <v>8.9712851354260131E-2</v>
      </c>
      <c r="D31" s="3">
        <v>0.69488744136601488</v>
      </c>
      <c r="E31" s="3">
        <v>0.21539970727972507</v>
      </c>
      <c r="F31" s="3">
        <f t="shared" si="0"/>
        <v>1</v>
      </c>
      <c r="G31" s="4">
        <f t="shared" si="1"/>
        <v>6.9000000000000047E-2</v>
      </c>
      <c r="H31" s="3">
        <f t="array" ref="H31">SQRT(MMULT(B31:E31,MMULT($B$3:$E$6,TRANSPOSE(B31:E31))))</f>
        <v>9.0054846162132066E-2</v>
      </c>
      <c r="I31" s="3">
        <f t="array" ref="I31">MMULT(B31:E31,TRANSPOSE($P$3:$S$3))</f>
        <v>6.8999990339169953E-2</v>
      </c>
    </row>
    <row r="32" spans="1:9" x14ac:dyDescent="0.2">
      <c r="A32" s="3" t="s">
        <v>35</v>
      </c>
      <c r="B32" s="3">
        <v>0</v>
      </c>
      <c r="C32" s="3">
        <v>9.9273685550514454E-2</v>
      </c>
      <c r="D32" s="3">
        <v>0.68461300628934241</v>
      </c>
      <c r="E32" s="3">
        <v>0.21611330816014301</v>
      </c>
      <c r="F32" s="3">
        <f t="shared" si="0"/>
        <v>0.99999999999999978</v>
      </c>
      <c r="G32" s="4">
        <f t="shared" si="1"/>
        <v>6.9700000000000054E-2</v>
      </c>
      <c r="H32" s="3">
        <f t="array" ref="H32">SQRT(MMULT(B32:E32,MMULT($B$3:$E$6,TRANSPOSE(B32:E32))))</f>
        <v>8.9523215197288994E-2</v>
      </c>
      <c r="I32" s="3">
        <f t="array" ref="I32">MMULT(B32:E32,TRANSPOSE($P$3:$S$3))</f>
        <v>6.9699990375315879E-2</v>
      </c>
    </row>
    <row r="33" spans="1:9" x14ac:dyDescent="0.2">
      <c r="A33" s="3" t="s">
        <v>36</v>
      </c>
      <c r="B33" s="3">
        <v>-9.9999999947364415E-9</v>
      </c>
      <c r="C33" s="3">
        <v>0.10883452838396813</v>
      </c>
      <c r="D33" s="3">
        <v>0.67433856907613043</v>
      </c>
      <c r="E33" s="3">
        <v>0.21682691253990136</v>
      </c>
      <c r="F33" s="3">
        <f t="shared" si="0"/>
        <v>1</v>
      </c>
      <c r="G33" s="4">
        <f t="shared" si="1"/>
        <v>7.040000000000006E-2</v>
      </c>
      <c r="H33" s="3">
        <f t="array" ref="H33">SQRT(MMULT(B33:E33,MMULT($B$3:$E$6,TRANSPOSE(B33:E33))))</f>
        <v>8.9023220477170234E-2</v>
      </c>
      <c r="I33" s="3">
        <f t="array" ref="I33">MMULT(B33:E33,TRANSPOSE($P$3:$S$3))</f>
        <v>7.0399990405166576E-2</v>
      </c>
    </row>
    <row r="34" spans="1:9" x14ac:dyDescent="0.2">
      <c r="A34" s="3" t="s">
        <v>37</v>
      </c>
      <c r="B34" s="3">
        <v>-9.9999999947364415E-9</v>
      </c>
      <c r="C34" s="3">
        <v>0.11839536169082243</v>
      </c>
      <c r="D34" s="3">
        <v>0.66406413446970458</v>
      </c>
      <c r="E34" s="3">
        <v>0.21754051383947279</v>
      </c>
      <c r="F34" s="3">
        <f t="shared" si="0"/>
        <v>0.99999999999999978</v>
      </c>
      <c r="G34" s="4">
        <f t="shared" si="1"/>
        <v>7.1100000000000066E-2</v>
      </c>
      <c r="H34" s="3">
        <f t="array" ref="H34">SQRT(MMULT(B34:E34,MMULT($B$3:$E$6,TRANSPOSE(B34:E34))))</f>
        <v>8.8555398476620695E-2</v>
      </c>
      <c r="I34" s="3">
        <f t="array" ref="I34">MMULT(B34:E34,TRANSPOSE($P$3:$S$3))</f>
        <v>7.1099990395810428E-2</v>
      </c>
    </row>
    <row r="35" spans="1:9" x14ac:dyDescent="0.2">
      <c r="A35" s="3" t="s">
        <v>38</v>
      </c>
      <c r="B35" s="3">
        <v>-9.9999999947364415E-9</v>
      </c>
      <c r="C35" s="3">
        <v>0.12795633185514957</v>
      </c>
      <c r="D35" s="3">
        <v>0.65378955328785038</v>
      </c>
      <c r="E35" s="3">
        <v>0.21825412485700013</v>
      </c>
      <c r="F35" s="3">
        <f t="shared" si="0"/>
        <v>1</v>
      </c>
      <c r="G35" s="4">
        <f t="shared" si="1"/>
        <v>7.1800000000000072E-2</v>
      </c>
      <c r="H35" s="3">
        <f t="array" ref="H35">SQRT(MMULT(B35:E35,MMULT($B$3:$E$6,TRANSPOSE(B35:E35))))</f>
        <v>8.812025529129755E-2</v>
      </c>
      <c r="I35" s="3">
        <f t="array" ref="I35">MMULT(B35:E35,TRANSPOSE($P$3:$S$3))</f>
        <v>7.1800000386454316E-2</v>
      </c>
    </row>
    <row r="36" spans="1:9" x14ac:dyDescent="0.2">
      <c r="A36" s="3" t="s">
        <v>39</v>
      </c>
      <c r="B36" s="3">
        <v>-9.9999999947364415E-9</v>
      </c>
      <c r="C36" s="3">
        <v>0.13751716704666581</v>
      </c>
      <c r="D36" s="3">
        <v>0.64351512007159539</v>
      </c>
      <c r="E36" s="3">
        <v>0.21896772288173866</v>
      </c>
      <c r="F36" s="3">
        <f t="shared" si="0"/>
        <v>0.99999999999999978</v>
      </c>
      <c r="G36" s="4">
        <f t="shared" si="1"/>
        <v>7.2500000000000078E-2</v>
      </c>
      <c r="H36" s="3">
        <f t="array" ref="H36">SQRT(MMULT(B36:E36,MMULT($B$3:$E$6,TRANSPOSE(B36:E36))))</f>
        <v>8.7718289771263794E-2</v>
      </c>
      <c r="I36" s="3">
        <f t="array" ref="I36">MMULT(B36:E36,TRANSPOSE($P$3:$S$3))</f>
        <v>7.2500000377098167E-2</v>
      </c>
    </row>
    <row r="37" spans="1:9" x14ac:dyDescent="0.2">
      <c r="A37" s="3" t="s">
        <v>40</v>
      </c>
      <c r="B37" s="3">
        <v>-9.9999999947364415E-9</v>
      </c>
      <c r="C37" s="3">
        <v>0.14707786243256468</v>
      </c>
      <c r="D37" s="3">
        <v>0.63324083125614805</v>
      </c>
      <c r="E37" s="3">
        <v>0.21968131631128718</v>
      </c>
      <c r="F37" s="3">
        <f t="shared" si="0"/>
        <v>0.99999999999999989</v>
      </c>
      <c r="G37" s="4">
        <f t="shared" si="1"/>
        <v>7.3200000000000084E-2</v>
      </c>
      <c r="H37" s="3">
        <f t="array" ref="H37">SQRT(MMULT(B37:E37,MMULT($B$3:$E$6,TRANSPOSE(B37:E37))))</f>
        <v>8.7349958426674965E-2</v>
      </c>
      <c r="I37" s="3">
        <f t="array" ref="I37">MMULT(B37:E37,TRANSPOSE($P$3:$S$3))</f>
        <v>7.3199990367742038E-2</v>
      </c>
    </row>
    <row r="38" spans="1:9" x14ac:dyDescent="0.2">
      <c r="A38" s="3" t="s">
        <v>41</v>
      </c>
      <c r="B38" s="3">
        <v>-9.9999999947364415E-9</v>
      </c>
      <c r="C38" s="3">
        <v>0.15663869601099492</v>
      </c>
      <c r="D38" s="3">
        <v>0.62296639685004285</v>
      </c>
      <c r="E38" s="3">
        <v>0.22039491713896212</v>
      </c>
      <c r="F38" s="3">
        <f t="shared" si="0"/>
        <v>0.99999999999999989</v>
      </c>
      <c r="G38" s="4">
        <f t="shared" si="1"/>
        <v>7.3900000000000091E-2</v>
      </c>
      <c r="H38" s="3">
        <f t="array" ref="H38">SQRT(MMULT(B38:E38,MMULT($B$3:$E$6,TRANSPOSE(B38:E38))))</f>
        <v>8.7015677785336337E-2</v>
      </c>
      <c r="I38" s="3">
        <f t="array" ref="I38">MMULT(B38:E38,TRANSPOSE($P$3:$S$3))</f>
        <v>7.3899990358385903E-2</v>
      </c>
    </row>
    <row r="39" spans="1:9" x14ac:dyDescent="0.2">
      <c r="A39" s="3" t="s">
        <v>42</v>
      </c>
      <c r="B39" s="3">
        <v>-9.9999999947364415E-9</v>
      </c>
      <c r="C39" s="3">
        <v>0.16619952990684522</v>
      </c>
      <c r="D39" s="3">
        <v>0.61269196267807435</v>
      </c>
      <c r="E39" s="3">
        <v>0.22110851741508028</v>
      </c>
      <c r="F39" s="3">
        <f t="shared" si="0"/>
        <v>0.99999999999999989</v>
      </c>
      <c r="G39" s="4">
        <f t="shared" si="1"/>
        <v>7.4600000000000097E-2</v>
      </c>
      <c r="H39" s="3">
        <f t="array" ref="H39">SQRT(MMULT(B39:E39,MMULT($B$3:$E$6,TRANSPOSE(B39:E39))))</f>
        <v>8.6715847200840177E-2</v>
      </c>
      <c r="I39" s="3">
        <f t="array" ref="I39">MMULT(B39:E39,TRANSPOSE($P$3:$S$3))</f>
        <v>7.4599990349029768E-2</v>
      </c>
    </row>
    <row r="40" spans="1:9" x14ac:dyDescent="0.2">
      <c r="A40" s="3" t="s">
        <v>43</v>
      </c>
      <c r="B40" s="3">
        <v>-9.9999999947364415E-9</v>
      </c>
      <c r="C40" s="3">
        <v>0.17576036316256169</v>
      </c>
      <c r="D40" s="3">
        <v>0.60241752803392801</v>
      </c>
      <c r="E40" s="3">
        <v>0.22182211880351027</v>
      </c>
      <c r="F40" s="3">
        <f t="shared" si="0"/>
        <v>1</v>
      </c>
      <c r="G40" s="4">
        <f t="shared" si="1"/>
        <v>7.5300000000000103E-2</v>
      </c>
      <c r="H40" s="3">
        <f t="array" ref="H40">SQRT(MMULT(B40:E40,MMULT($B$3:$E$6,TRANSPOSE(B40:E40))))</f>
        <v>8.6450825115182109E-2</v>
      </c>
      <c r="I40" s="3">
        <f t="array" ref="I40">MMULT(B40:E40,TRANSPOSE($P$3:$S$3))</f>
        <v>7.5299990339673648E-2</v>
      </c>
    </row>
    <row r="41" spans="1:9" x14ac:dyDescent="0.2">
      <c r="A41" s="3" t="s">
        <v>44</v>
      </c>
      <c r="B41" s="3">
        <v>-9.9999999947364415E-9</v>
      </c>
      <c r="C41" s="3">
        <v>0.18532119673492342</v>
      </c>
      <c r="D41" s="3">
        <v>0.59214309362334672</v>
      </c>
      <c r="E41" s="3">
        <v>0.22253571964172969</v>
      </c>
      <c r="F41" s="3">
        <f t="shared" si="0"/>
        <v>0.99999999999999978</v>
      </c>
      <c r="G41" s="4">
        <f t="shared" si="1"/>
        <v>7.6000000000000109E-2</v>
      </c>
      <c r="H41" s="3">
        <f t="array" ref="H41">SQRT(MMULT(B41:E41,MMULT($B$3:$E$6,TRANSPOSE(B41:E41))))</f>
        <v>8.6220932507428238E-2</v>
      </c>
      <c r="I41" s="3">
        <f t="array" ref="I41">MMULT(B41:E41,TRANSPOSE($P$3:$S$3))</f>
        <v>7.5999990330317499E-2</v>
      </c>
    </row>
    <row r="42" spans="1:9" x14ac:dyDescent="0.2">
      <c r="A42" s="3" t="s">
        <v>45</v>
      </c>
      <c r="B42" s="3">
        <v>-9.9999999947364415E-9</v>
      </c>
      <c r="C42" s="3">
        <v>0.19488203030776333</v>
      </c>
      <c r="D42" s="3">
        <v>0.58186865921311792</v>
      </c>
      <c r="E42" s="3">
        <v>0.22324932047911861</v>
      </c>
      <c r="F42" s="3">
        <f t="shared" si="0"/>
        <v>0.99999999999999989</v>
      </c>
      <c r="G42" s="4">
        <f t="shared" si="1"/>
        <v>7.6700000000000115E-2</v>
      </c>
      <c r="H42" s="3">
        <f t="array" ref="H42">SQRT(MMULT(B42:E42,MMULT($B$3:$E$6,TRANSPOSE(B42:E42))))</f>
        <v>8.6026451012601618E-2</v>
      </c>
      <c r="I42" s="3">
        <f t="array" ref="I42">MMULT(B42:E42,TRANSPOSE($P$3:$S$3))</f>
        <v>7.6699990320961364E-2</v>
      </c>
    </row>
    <row r="43" spans="1:9" x14ac:dyDescent="0.2">
      <c r="A43" s="3" t="s">
        <v>46</v>
      </c>
      <c r="B43" s="3">
        <v>-9.9999999947364415E-9</v>
      </c>
      <c r="C43" s="3">
        <v>0.20444286388135446</v>
      </c>
      <c r="D43" s="3">
        <v>0.5715942248034438</v>
      </c>
      <c r="E43" s="3">
        <v>0.22396292131520182</v>
      </c>
      <c r="F43" s="3">
        <f t="shared" si="0"/>
        <v>1.0000000000000002</v>
      </c>
      <c r="G43" s="4">
        <f t="shared" si="1"/>
        <v>7.7400000000000121E-2</v>
      </c>
      <c r="H43" s="3">
        <f t="array" ref="H43">SQRT(MMULT(B43:E43,MMULT($B$3:$E$6,TRANSPOSE(B43:E43))))</f>
        <v>8.586762123882874E-2</v>
      </c>
      <c r="I43" s="3">
        <f t="array" ref="I43">MMULT(B43:E43,TRANSPOSE($P$3:$S$3))</f>
        <v>7.7399990311605243E-2</v>
      </c>
    </row>
    <row r="44" spans="1:9" x14ac:dyDescent="0.2">
      <c r="A44" s="3" t="s">
        <v>47</v>
      </c>
      <c r="B44" s="3">
        <v>-9.9999999947364415E-9</v>
      </c>
      <c r="C44" s="3">
        <v>0.21400383403536075</v>
      </c>
      <c r="D44" s="3">
        <v>0.56131964361397635</v>
      </c>
      <c r="E44" s="3">
        <v>0.22467653235066279</v>
      </c>
      <c r="F44" s="3">
        <f t="shared" si="0"/>
        <v>0.99999999999999989</v>
      </c>
      <c r="G44" s="4">
        <f t="shared" si="1"/>
        <v>7.8100000000000128E-2</v>
      </c>
      <c r="H44" s="3">
        <f t="array" ref="H44">SQRT(MMULT(B44:E44,MMULT($B$3:$E$6,TRANSPOSE(B44:E44))))</f>
        <v>8.5744639805598266E-2</v>
      </c>
      <c r="I44" s="3">
        <f t="array" ref="I44">MMULT(B44:E44,TRANSPOSE($P$3:$S$3))</f>
        <v>7.810000030224909E-2</v>
      </c>
    </row>
    <row r="45" spans="1:9" x14ac:dyDescent="0.2">
      <c r="A45" s="3" t="s">
        <v>48</v>
      </c>
      <c r="B45" s="3">
        <v>-9.9999999947364415E-9</v>
      </c>
      <c r="C45" s="3">
        <v>0.22356466760929136</v>
      </c>
      <c r="D45" s="3">
        <v>0.55104520920455236</v>
      </c>
      <c r="E45" s="3">
        <v>0.22539013318615633</v>
      </c>
      <c r="F45" s="3">
        <f t="shared" si="0"/>
        <v>1</v>
      </c>
      <c r="G45" s="4">
        <f t="shared" si="1"/>
        <v>7.8800000000000134E-2</v>
      </c>
      <c r="H45" s="3">
        <f t="array" ref="H45">SQRT(MMULT(B45:E45,MMULT($B$3:$E$6,TRANSPOSE(B45:E45))))</f>
        <v>8.5657664638658759E-2</v>
      </c>
      <c r="I45" s="3">
        <f t="array" ref="I45">MMULT(B45:E45,TRANSPOSE($P$3:$S$3))</f>
        <v>7.8800000292892969E-2</v>
      </c>
    </row>
    <row r="46" spans="1:9" x14ac:dyDescent="0.2">
      <c r="A46" s="3" t="s">
        <v>49</v>
      </c>
      <c r="B46" s="3">
        <v>-9.9999999947364415E-9</v>
      </c>
      <c r="C46" s="3">
        <v>0.23312550118375513</v>
      </c>
      <c r="D46" s="3">
        <v>0.5407707747955216</v>
      </c>
      <c r="E46" s="3">
        <v>0.2261037340207232</v>
      </c>
      <c r="F46" s="3">
        <f t="shared" si="0"/>
        <v>1</v>
      </c>
      <c r="G46" s="4">
        <f t="shared" si="1"/>
        <v>7.950000000000014E-2</v>
      </c>
      <c r="H46" s="3">
        <f t="array" ref="H46">SQRT(MMULT(B46:E46,MMULT($B$3:$E$6,TRANSPOSE(B46:E46))))</f>
        <v>8.5606803464002942E-2</v>
      </c>
      <c r="I46" s="3">
        <f t="array" ref="I46">MMULT(B46:E46,TRANSPOSE($P$3:$S$3))</f>
        <v>7.950000028353682E-2</v>
      </c>
    </row>
    <row r="47" spans="1:9" x14ac:dyDescent="0.2">
      <c r="A47" s="3" t="s">
        <v>50</v>
      </c>
      <c r="B47" s="3">
        <v>-9.9999999947364415E-9</v>
      </c>
      <c r="C47" s="3">
        <v>0.24268619816708453</v>
      </c>
      <c r="D47" s="3">
        <v>0.53049648715837661</v>
      </c>
      <c r="E47" s="3">
        <v>0.22681732467453894</v>
      </c>
      <c r="F47" s="3">
        <f t="shared" si="0"/>
        <v>1</v>
      </c>
      <c r="G47" s="4">
        <f t="shared" si="1"/>
        <v>8.0200000000000146E-2</v>
      </c>
      <c r="H47" s="3">
        <f t="array" ref="H47">SQRT(MMULT(B47:E47,MMULT($B$3:$E$6,TRANSPOSE(B47:E47))))</f>
        <v>8.5592120612613135E-2</v>
      </c>
      <c r="I47" s="3">
        <f t="array" ref="I47">MMULT(B47:E47,TRANSPOSE($P$3:$S$3))</f>
        <v>8.0199990274180705E-2</v>
      </c>
    </row>
    <row r="48" spans="1:9" x14ac:dyDescent="0.2">
      <c r="A48" s="3" t="s">
        <v>51</v>
      </c>
      <c r="B48" s="3">
        <v>-9.9999999947364415E-9</v>
      </c>
      <c r="C48" s="3">
        <v>0.25224716832492161</v>
      </c>
      <c r="D48" s="3">
        <v>0.5202219059717329</v>
      </c>
      <c r="E48" s="3">
        <v>0.22753093570334557</v>
      </c>
      <c r="F48" s="3">
        <f t="shared" si="0"/>
        <v>1</v>
      </c>
      <c r="G48" s="4">
        <f t="shared" si="1"/>
        <v>8.0900000000000152E-2</v>
      </c>
      <c r="H48" s="3">
        <f t="array" ref="H48">SQRT(MMULT(B48:E48,MMULT($B$3:$E$6,TRANSPOSE(B48:E48))))</f>
        <v>8.5613634844751735E-2</v>
      </c>
      <c r="I48" s="3">
        <f t="array" ref="I48">MMULT(B48:E48,TRANSPOSE($P$3:$S$3))</f>
        <v>8.0900000264824662E-2</v>
      </c>
    </row>
    <row r="49" spans="1:9" x14ac:dyDescent="0.2">
      <c r="A49" s="3" t="s">
        <v>52</v>
      </c>
      <c r="B49" s="3">
        <v>-9.9999999947364415E-9</v>
      </c>
      <c r="C49" s="3">
        <v>0.26180786531686467</v>
      </c>
      <c r="D49" s="3">
        <v>0.50994761834094138</v>
      </c>
      <c r="E49" s="3">
        <v>0.22824452634219405</v>
      </c>
      <c r="F49" s="3">
        <f t="shared" si="0"/>
        <v>1</v>
      </c>
      <c r="G49" s="4">
        <f t="shared" si="1"/>
        <v>8.1600000000000159E-2</v>
      </c>
      <c r="H49" s="3">
        <f t="array" ref="H49">SQRT(MMULT(B49:E49,MMULT($B$3:$E$6,TRANSPOSE(B49:E49))))</f>
        <v>8.5671317662032148E-2</v>
      </c>
      <c r="I49" s="3">
        <f t="array" ref="I49">MMULT(B49:E49,TRANSPOSE($P$3:$S$3))</f>
        <v>8.1599990255468546E-2</v>
      </c>
    </row>
    <row r="50" spans="1:9" x14ac:dyDescent="0.2">
      <c r="A50" s="3" t="s">
        <v>53</v>
      </c>
      <c r="B50" s="3">
        <v>-9.9999999947364415E-9</v>
      </c>
      <c r="C50" s="3">
        <v>0.27136869888824378</v>
      </c>
      <c r="D50" s="3">
        <v>0.49967318392963506</v>
      </c>
      <c r="E50" s="3">
        <v>0.22895812718212116</v>
      </c>
      <c r="F50" s="3">
        <f t="shared" si="0"/>
        <v>1</v>
      </c>
      <c r="G50" s="4">
        <f t="shared" si="1"/>
        <v>8.2300000000000165E-2</v>
      </c>
      <c r="H50" s="3">
        <f t="array" ref="H50">SQRT(MMULT(B50:E50,MMULT($B$3:$E$6,TRANSPOSE(B50:E50))))</f>
        <v>8.5765097781490954E-2</v>
      </c>
      <c r="I50" s="3">
        <f t="array" ref="I50">MMULT(B50:E50,TRANSPOSE($P$3:$S$3))</f>
        <v>8.2299990246112412E-2</v>
      </c>
    </row>
    <row r="51" spans="1:9" x14ac:dyDescent="0.2">
      <c r="A51" s="3" t="s">
        <v>54</v>
      </c>
      <c r="B51" s="3">
        <v>-9.9999999947364415E-9</v>
      </c>
      <c r="C51" s="3">
        <v>0.28092966904433647</v>
      </c>
      <c r="D51" s="3">
        <v>0.48939860274170705</v>
      </c>
      <c r="E51" s="3">
        <v>0.22967173821395648</v>
      </c>
      <c r="F51" s="3">
        <f t="shared" si="0"/>
        <v>1</v>
      </c>
      <c r="G51" s="4">
        <f t="shared" si="1"/>
        <v>8.3000000000000171E-2</v>
      </c>
      <c r="H51" s="3">
        <f t="array" ref="H51">SQRT(MMULT(B51:E51,MMULT($B$3:$E$6,TRANSPOSE(B51:E51))))</f>
        <v>8.589485851596261E-2</v>
      </c>
      <c r="I51" s="3">
        <f t="array" ref="I51">MMULT(B51:E51,TRANSPOSE($P$3:$S$3))</f>
        <v>8.3000000236756272E-2</v>
      </c>
    </row>
    <row r="52" spans="1:9" x14ac:dyDescent="0.2">
      <c r="A52" s="3" t="s">
        <v>55</v>
      </c>
      <c r="B52" s="3">
        <v>-9.9999999947364415E-9</v>
      </c>
      <c r="C52" s="3">
        <v>0.2904905026166435</v>
      </c>
      <c r="D52" s="3">
        <v>0.47912416833108523</v>
      </c>
      <c r="E52" s="3">
        <v>0.23038533905227129</v>
      </c>
      <c r="F52" s="3">
        <f t="shared" si="0"/>
        <v>1</v>
      </c>
      <c r="G52" s="4">
        <f t="shared" si="1"/>
        <v>8.3700000000000177E-2</v>
      </c>
      <c r="H52" s="3">
        <f t="array" ref="H52">SQRT(MMULT(B52:E52,MMULT($B$3:$E$6,TRANSPOSE(B52:E52))))</f>
        <v>8.6060433414914081E-2</v>
      </c>
      <c r="I52" s="3">
        <f t="array" ref="I52">MMULT(B52:E52,TRANSPOSE($P$3:$S$3))</f>
        <v>8.3700000227400137E-2</v>
      </c>
    </row>
    <row r="53" spans="1:9" x14ac:dyDescent="0.2">
      <c r="A53" s="3" t="s">
        <v>56</v>
      </c>
      <c r="B53" s="3">
        <v>-9.9999999947364415E-9</v>
      </c>
      <c r="C53" s="3">
        <v>0.30005119960620519</v>
      </c>
      <c r="D53" s="3">
        <v>0.4688498806985375</v>
      </c>
      <c r="E53" s="3">
        <v>0.23109892969525725</v>
      </c>
      <c r="F53" s="3">
        <f t="shared" si="0"/>
        <v>1</v>
      </c>
      <c r="G53" s="4">
        <f t="shared" si="1"/>
        <v>8.4400000000000183E-2</v>
      </c>
      <c r="H53" s="3">
        <f t="array" ref="H53">SQRT(MMULT(B53:E53,MMULT($B$3:$E$6,TRANSPOSE(B53:E53))))</f>
        <v>8.6261614708620468E-2</v>
      </c>
      <c r="I53" s="3">
        <f t="array" ref="I53">MMULT(B53:E53,TRANSPOSE($P$3:$S$3))</f>
        <v>8.4399990218043994E-2</v>
      </c>
    </row>
    <row r="54" spans="1:9" x14ac:dyDescent="0.2">
      <c r="A54" s="3" t="s">
        <v>57</v>
      </c>
      <c r="B54" s="3">
        <v>3.0182804618392759E-3</v>
      </c>
      <c r="C54" s="3">
        <v>0.30704719731056379</v>
      </c>
      <c r="D54" s="3">
        <v>0.4592984178368133</v>
      </c>
      <c r="E54" s="3">
        <v>0.23063610439078361</v>
      </c>
      <c r="F54" s="3">
        <f t="shared" si="0"/>
        <v>1</v>
      </c>
      <c r="G54" s="4">
        <f t="shared" si="1"/>
        <v>8.5100000000000189E-2</v>
      </c>
      <c r="H54" s="3">
        <f t="array" ref="H54">SQRT(MMULT(B54:E54,MMULT($B$3:$E$6,TRANSPOSE(B54:E54))))</f>
        <v>8.6497321728807711E-2</v>
      </c>
      <c r="I54" s="3">
        <f t="array" ref="I54">MMULT(B54:E54,TRANSPOSE($P$3:$S$3))</f>
        <v>8.5099990215411911E-2</v>
      </c>
    </row>
    <row r="55" spans="1:9" x14ac:dyDescent="0.2">
      <c r="A55" s="3" t="s">
        <v>58</v>
      </c>
      <c r="B55" s="3">
        <v>1.0749481991208633E-2</v>
      </c>
      <c r="C55" s="3">
        <v>0.31003839028534691</v>
      </c>
      <c r="D55" s="3">
        <v>0.45087563573817191</v>
      </c>
      <c r="E55" s="3">
        <v>0.22833649198527259</v>
      </c>
      <c r="F55" s="3">
        <f t="shared" si="0"/>
        <v>1</v>
      </c>
      <c r="G55" s="4">
        <f t="shared" si="1"/>
        <v>8.5800000000000196E-2</v>
      </c>
      <c r="H55" s="3">
        <f t="array" ref="H55">SQRT(MMULT(B55:E55,MMULT($B$3:$E$6,TRANSPOSE(B55:E55))))</f>
        <v>8.6759184900221623E-2</v>
      </c>
      <c r="I55" s="3">
        <f t="array" ref="I55">MMULT(B55:E55,TRANSPOSE($P$3:$S$3))</f>
        <v>8.5800000216373504E-2</v>
      </c>
    </row>
    <row r="56" spans="1:9" x14ac:dyDescent="0.2">
      <c r="A56" s="3" t="s">
        <v>59</v>
      </c>
      <c r="B56" s="3">
        <v>1.8480409992047631E-2</v>
      </c>
      <c r="C56" s="3">
        <v>0.31302956944426424</v>
      </c>
      <c r="D56" s="3">
        <v>0.44245310175483921</v>
      </c>
      <c r="E56" s="3">
        <v>0.22603691880884888</v>
      </c>
      <c r="F56" s="3">
        <f t="shared" si="0"/>
        <v>1</v>
      </c>
      <c r="G56" s="4">
        <f t="shared" si="1"/>
        <v>8.6500000000000202E-2</v>
      </c>
      <c r="H56" s="3">
        <f t="array" ref="H56">SQRT(MMULT(B56:E56,MMULT($B$3:$E$6,TRANSPOSE(B56:E56))))</f>
        <v>8.7044926437709641E-2</v>
      </c>
      <c r="I56" s="3">
        <f t="array" ref="I56">MMULT(B56:E56,TRANSPOSE($P$3:$S$3))</f>
        <v>8.6499990208265223E-2</v>
      </c>
    </row>
    <row r="57" spans="1:9" x14ac:dyDescent="0.2">
      <c r="A57" s="3" t="s">
        <v>60</v>
      </c>
      <c r="B57" s="3">
        <v>2.6211437932008006E-2</v>
      </c>
      <c r="C57" s="3">
        <v>0.31602080963255536</v>
      </c>
      <c r="D57" s="3">
        <v>0.4340304518443866</v>
      </c>
      <c r="E57" s="3">
        <v>0.22373730059105004</v>
      </c>
      <c r="F57" s="3">
        <f t="shared" si="0"/>
        <v>1</v>
      </c>
      <c r="G57" s="4">
        <f t="shared" si="1"/>
        <v>8.7200000000000208E-2</v>
      </c>
      <c r="H57" s="3">
        <f t="array" ref="H57">SQRT(MMULT(B57:E57,MMULT($B$3:$E$6,TRANSPOSE(B57:E57))))</f>
        <v>8.7354323677860432E-2</v>
      </c>
      <c r="I57" s="3">
        <f t="array" ref="I57">MMULT(B57:E57,TRANSPOSE($P$3:$S$3))</f>
        <v>8.7199990200157201E-2</v>
      </c>
    </row>
    <row r="58" spans="1:9" x14ac:dyDescent="0.2">
      <c r="A58" s="3" t="s">
        <v>61</v>
      </c>
      <c r="B58" s="3">
        <v>3.3942483087169982E-2</v>
      </c>
      <c r="C58" s="3">
        <v>0.31901202887159041</v>
      </c>
      <c r="D58" s="3">
        <v>0.42560780139542409</v>
      </c>
      <c r="E58" s="3">
        <v>0.22143768664581548</v>
      </c>
      <c r="F58" s="3">
        <f t="shared" si="0"/>
        <v>1</v>
      </c>
      <c r="G58" s="4">
        <f t="shared" si="1"/>
        <v>8.7900000000000214E-2</v>
      </c>
      <c r="H58" s="3">
        <f t="array" ref="H58">SQRT(MMULT(B58:E58,MMULT($B$3:$E$6,TRANSPOSE(B58:E58))))</f>
        <v>8.7687122348477406E-2</v>
      </c>
      <c r="I58" s="3">
        <f t="array" ref="I58">MMULT(B58:E58,TRANSPOSE($P$3:$S$3))</f>
        <v>8.7899990192049207E-2</v>
      </c>
    </row>
    <row r="59" spans="1:9" x14ac:dyDescent="0.2">
      <c r="A59" s="3" t="s">
        <v>62</v>
      </c>
      <c r="B59" s="3">
        <v>4.1673613791411573E-2</v>
      </c>
      <c r="C59" s="3">
        <v>0.3220032939054624</v>
      </c>
      <c r="D59" s="3">
        <v>0.41718501131536767</v>
      </c>
      <c r="E59" s="3">
        <v>0.21913808098775836</v>
      </c>
      <c r="F59" s="3">
        <f t="shared" si="0"/>
        <v>1</v>
      </c>
      <c r="G59" s="4">
        <f t="shared" si="1"/>
        <v>8.860000000000022E-2</v>
      </c>
      <c r="H59" s="3">
        <f t="array" ref="H59">SQRT(MMULT(B59:E59,MMULT($B$3:$E$6,TRANSPOSE(B59:E59))))</f>
        <v>8.8043062329723643E-2</v>
      </c>
      <c r="I59" s="3">
        <f t="array" ref="I59">MMULT(B59:E59,TRANSPOSE($P$3:$S$3))</f>
        <v>8.8600000183941333E-2</v>
      </c>
    </row>
    <row r="60" spans="1:9" x14ac:dyDescent="0.2">
      <c r="A60" s="3" t="s">
        <v>63</v>
      </c>
      <c r="B60" s="3">
        <v>4.9404642524068031E-2</v>
      </c>
      <c r="C60" s="3">
        <v>0.3249945236159813</v>
      </c>
      <c r="D60" s="3">
        <v>0.4087623543630039</v>
      </c>
      <c r="E60" s="3">
        <v>0.21683847949694687</v>
      </c>
      <c r="F60" s="3">
        <f t="shared" si="0"/>
        <v>1</v>
      </c>
      <c r="G60" s="4">
        <f t="shared" si="1"/>
        <v>8.9300000000000226E-2</v>
      </c>
      <c r="H60" s="3">
        <f t="array" ref="H60">SQRT(MMULT(B60:E60,MMULT($B$3:$E$6,TRANSPOSE(B60:E60))))</f>
        <v>8.8421854052222429E-2</v>
      </c>
      <c r="I60" s="3">
        <f t="array" ref="I60">MMULT(B60:E60,TRANSPOSE($P$3:$S$3))</f>
        <v>8.9300000175833283E-2</v>
      </c>
    </row>
    <row r="61" spans="1:9" x14ac:dyDescent="0.2">
      <c r="A61" s="3" t="s">
        <v>64</v>
      </c>
      <c r="B61" s="3">
        <v>5.7135590089363031E-2</v>
      </c>
      <c r="C61" s="3">
        <v>0.32798568291100366</v>
      </c>
      <c r="D61" s="3">
        <v>0.40033982267699431</v>
      </c>
      <c r="E61" s="3">
        <v>0.21453890432263903</v>
      </c>
      <c r="F61" s="3">
        <f t="shared" si="0"/>
        <v>1</v>
      </c>
      <c r="G61" s="4">
        <f t="shared" si="1"/>
        <v>9.0000000000000233E-2</v>
      </c>
      <c r="H61" s="3">
        <f t="array" ref="H61">SQRT(MMULT(B61:E61,MMULT($B$3:$E$6,TRANSPOSE(B61:E61))))</f>
        <v>8.8823204122570637E-2</v>
      </c>
      <c r="I61" s="3">
        <f t="array" ref="I61">MMULT(B61:E61,TRANSPOSE($P$3:$S$3))</f>
        <v>8.9999990167725044E-2</v>
      </c>
    </row>
    <row r="62" spans="1:9" x14ac:dyDescent="0.2">
      <c r="A62" s="3" t="s">
        <v>65</v>
      </c>
      <c r="B62" s="3">
        <v>6.4866663030491212E-2</v>
      </c>
      <c r="C62" s="3">
        <v>0.3309768660248375</v>
      </c>
      <c r="D62" s="3">
        <v>0.39191716965322515</v>
      </c>
      <c r="E62" s="3">
        <v>0.21223930129144614</v>
      </c>
      <c r="F62" s="3">
        <f t="shared" si="0"/>
        <v>1</v>
      </c>
      <c r="G62" s="4">
        <f t="shared" si="1"/>
        <v>9.0700000000000239E-2</v>
      </c>
      <c r="H62" s="3">
        <f t="array" ref="H62">SQRT(MMULT(B62:E62,MMULT($B$3:$E$6,TRANSPOSE(B62:E62))))</f>
        <v>8.9246819588271381E-2</v>
      </c>
      <c r="I62" s="3">
        <f t="array" ref="I62">MMULT(B62:E62,TRANSPOSE($P$3:$S$3))</f>
        <v>9.0699990159617064E-2</v>
      </c>
    </row>
    <row r="63" spans="1:9" x14ac:dyDescent="0.2">
      <c r="A63" s="3" t="s">
        <v>66</v>
      </c>
      <c r="B63" s="3">
        <v>7.2597779526025349E-2</v>
      </c>
      <c r="C63" s="3">
        <v>0.33396816275870078</v>
      </c>
      <c r="D63" s="3">
        <v>0.38349439064631119</v>
      </c>
      <c r="E63" s="3">
        <v>0.20993966706896278</v>
      </c>
      <c r="F63" s="3">
        <f t="shared" si="0"/>
        <v>1.0000000000000002</v>
      </c>
      <c r="G63" s="4">
        <f t="shared" si="1"/>
        <v>9.1400000000000245E-2</v>
      </c>
      <c r="H63" s="3">
        <f t="array" ref="H63">SQRT(MMULT(B63:E63,MMULT($B$3:$E$6,TRANSPOSE(B63:E63))))</f>
        <v>8.9692385998840676E-2</v>
      </c>
      <c r="I63" s="3">
        <f t="array" ref="I63">MMULT(B63:E63,TRANSPOSE($P$3:$S$3))</f>
        <v>9.1400000151509203E-2</v>
      </c>
    </row>
    <row r="64" spans="1:9" x14ac:dyDescent="0.2">
      <c r="A64" s="3" t="s">
        <v>67</v>
      </c>
      <c r="B64" s="3">
        <v>8.0328843623669988E-2</v>
      </c>
      <c r="C64" s="3">
        <v>0.33695937979639751</v>
      </c>
      <c r="D64" s="3">
        <v>0.37507175498415074</v>
      </c>
      <c r="E64" s="3">
        <v>0.20764002159578179</v>
      </c>
      <c r="F64" s="3">
        <f t="shared" si="0"/>
        <v>1</v>
      </c>
      <c r="G64" s="4">
        <f t="shared" si="1"/>
        <v>9.2100000000000251E-2</v>
      </c>
      <c r="H64" s="3">
        <f t="array" ref="H64">SQRT(MMULT(B64:E64,MMULT($B$3:$E$6,TRANSPOSE(B64:E64))))</f>
        <v>9.0159565278916193E-2</v>
      </c>
      <c r="I64" s="3">
        <f t="array" ref="I64">MMULT(B64:E64,TRANSPOSE($P$3:$S$3))</f>
        <v>9.2100000143401403E-2</v>
      </c>
    </row>
    <row r="65" spans="1:9" x14ac:dyDescent="0.2">
      <c r="A65" s="3" t="s">
        <v>68</v>
      </c>
      <c r="B65" s="3">
        <v>8.8059775792904194E-2</v>
      </c>
      <c r="C65" s="3">
        <v>0.33995053822627669</v>
      </c>
      <c r="D65" s="3">
        <v>0.3666492093218221</v>
      </c>
      <c r="E65" s="3">
        <v>0.20534047665899705</v>
      </c>
      <c r="F65" s="3">
        <f t="shared" si="0"/>
        <v>1</v>
      </c>
      <c r="G65" s="4">
        <f t="shared" si="1"/>
        <v>9.2800000000000257E-2</v>
      </c>
      <c r="H65" s="3">
        <f t="array" ref="H65">SQRT(MMULT(B65:E65,MMULT($B$3:$E$6,TRANSPOSE(B65:E65))))</f>
        <v>9.0648022250394159E-2</v>
      </c>
      <c r="I65" s="3">
        <f t="array" ref="I65">MMULT(B65:E65,TRANSPOSE($P$3:$S$3))</f>
        <v>9.2799990135293081E-2</v>
      </c>
    </row>
    <row r="66" spans="1:9" x14ac:dyDescent="0.2">
      <c r="A66" s="3" t="s">
        <v>69</v>
      </c>
      <c r="B66" s="3">
        <v>9.5790831108423707E-2</v>
      </c>
      <c r="C66" s="3">
        <v>0.34294174734939259</v>
      </c>
      <c r="D66" s="3">
        <v>0.35822656021340676</v>
      </c>
      <c r="E66" s="3">
        <v>0.20304086132877699</v>
      </c>
      <c r="F66" s="3">
        <f t="shared" si="0"/>
        <v>1.0000000000000002</v>
      </c>
      <c r="G66" s="4">
        <f t="shared" si="1"/>
        <v>9.3500000000000263E-2</v>
      </c>
      <c r="H66" s="3">
        <f t="array" ref="H66">SQRT(MMULT(B66:E66,MMULT($B$3:$E$6,TRANSPOSE(B66:E66))))</f>
        <v>9.1157428712150032E-2</v>
      </c>
      <c r="I66" s="3">
        <f t="array" ref="I66">MMULT(B66:E66,TRANSPOSE($P$3:$S$3))</f>
        <v>9.3499990127185101E-2</v>
      </c>
    </row>
    <row r="67" spans="1:9" x14ac:dyDescent="0.2">
      <c r="A67" s="3" t="s">
        <v>70</v>
      </c>
      <c r="B67" s="3">
        <v>0.10352192946238858</v>
      </c>
      <c r="C67" s="3">
        <v>0.34593305896063048</v>
      </c>
      <c r="D67" s="3">
        <v>0.34980377646369265</v>
      </c>
      <c r="E67" s="3">
        <v>0.20074123511328826</v>
      </c>
      <c r="F67" s="3">
        <f t="shared" si="0"/>
        <v>1</v>
      </c>
      <c r="G67" s="4">
        <f t="shared" si="1"/>
        <v>9.420000000000027E-2</v>
      </c>
      <c r="H67" s="3">
        <f t="array" ref="H67">SQRT(MMULT(B67:E67,MMULT($B$3:$E$6,TRANSPOSE(B67:E67))))</f>
        <v>9.1687436488643956E-2</v>
      </c>
      <c r="I67" s="3">
        <f t="array" ref="I67">MMULT(B67:E67,TRANSPOSE($P$3:$S$3))</f>
        <v>9.4200000119077199E-2</v>
      </c>
    </row>
    <row r="68" spans="1:9" x14ac:dyDescent="0.2">
      <c r="A68" s="3" t="s">
        <v>71</v>
      </c>
      <c r="B68" s="3">
        <v>0.1112530148289044</v>
      </c>
      <c r="C68" s="3">
        <v>0.34892423219272584</v>
      </c>
      <c r="D68" s="3">
        <v>0.34138112691548583</v>
      </c>
      <c r="E68" s="3">
        <v>0.19844162606288385</v>
      </c>
      <c r="F68" s="3">
        <f t="shared" si="0"/>
        <v>0.99999999999999989</v>
      </c>
      <c r="G68" s="4">
        <f t="shared" si="1"/>
        <v>9.4900000000000276E-2</v>
      </c>
      <c r="H68" s="3">
        <f t="array" ref="H68">SQRT(MMULT(B68:E68,MMULT($B$3:$E$6,TRANSPOSE(B68:E68))))</f>
        <v>9.223767543936888E-2</v>
      </c>
      <c r="I68" s="3">
        <f t="array" ref="I68">MMULT(B68:E68,TRANSPOSE($P$3:$S$3))</f>
        <v>9.4900000110969246E-2</v>
      </c>
    </row>
    <row r="69" spans="1:9" x14ac:dyDescent="0.2">
      <c r="A69" s="3" t="s">
        <v>72</v>
      </c>
      <c r="B69" s="3">
        <v>0.11898404498155919</v>
      </c>
      <c r="C69" s="3">
        <v>0.35191545574407396</v>
      </c>
      <c r="D69" s="3">
        <v>0.33295846665016832</v>
      </c>
      <c r="E69" s="3">
        <v>0.19614203262419858</v>
      </c>
      <c r="F69" s="3">
        <f t="shared" si="0"/>
        <v>1</v>
      </c>
      <c r="G69" s="4">
        <f t="shared" si="1"/>
        <v>9.5600000000000282E-2</v>
      </c>
      <c r="H69" s="3">
        <f t="array" ref="H69">SQRT(MMULT(B69:E69,MMULT($B$3:$E$6,TRANSPOSE(B69:E69))))</f>
        <v>9.2807793018301402E-2</v>
      </c>
      <c r="I69" s="3">
        <f t="array" ref="I69">MMULT(B69:E69,TRANSPOSE($P$3:$S$3))</f>
        <v>9.5600000102861182E-2</v>
      </c>
    </row>
    <row r="70" spans="1:9" x14ac:dyDescent="0.2">
      <c r="A70" s="3" t="s">
        <v>73</v>
      </c>
      <c r="B70" s="3">
        <v>0.12671496087570111</v>
      </c>
      <c r="C70" s="3">
        <v>0.35490665596945126</v>
      </c>
      <c r="D70" s="3">
        <v>0.32453593771748157</v>
      </c>
      <c r="E70" s="3">
        <v>0.19384244543736603</v>
      </c>
      <c r="F70" s="3">
        <f t="shared" si="0"/>
        <v>1</v>
      </c>
      <c r="G70" s="4">
        <f t="shared" si="1"/>
        <v>9.6300000000000288E-2</v>
      </c>
      <c r="H70" s="3">
        <f t="array" ref="H70">SQRT(MMULT(B70:E70,MMULT($B$3:$E$6,TRANSPOSE(B70:E70))))</f>
        <v>9.3397416635175617E-2</v>
      </c>
      <c r="I70" s="3">
        <f t="array" ref="I70">MMULT(B70:E70,TRANSPOSE($P$3:$S$3))</f>
        <v>9.629999009475293E-2</v>
      </c>
    </row>
    <row r="71" spans="1:9" x14ac:dyDescent="0.2">
      <c r="A71" s="3" t="s">
        <v>74</v>
      </c>
      <c r="B71" s="3">
        <v>0.13444602142590312</v>
      </c>
      <c r="C71" s="3">
        <v>0.35789785771575089</v>
      </c>
      <c r="D71" s="3">
        <v>0.3161132877027486</v>
      </c>
      <c r="E71" s="3">
        <v>0.19154283315559742</v>
      </c>
      <c r="F71" s="3">
        <f t="shared" si="0"/>
        <v>1</v>
      </c>
      <c r="G71" s="4">
        <f t="shared" si="1"/>
        <v>9.7000000000000294E-2</v>
      </c>
      <c r="H71" s="3">
        <f t="array" ref="H71">SQRT(MMULT(B71:E71,MMULT($B$3:$E$6,TRANSPOSE(B71:E71))))</f>
        <v>9.4006195939303774E-2</v>
      </c>
      <c r="I71" s="3">
        <f t="array" ref="I71">MMULT(B71:E71,TRANSPOSE($P$3:$S$3))</f>
        <v>9.6999990086644949E-2</v>
      </c>
    </row>
    <row r="72" spans="1:9" x14ac:dyDescent="0.2">
      <c r="A72" s="3" t="s">
        <v>75</v>
      </c>
      <c r="B72" s="3">
        <v>0.14217720755206956</v>
      </c>
      <c r="C72" s="3">
        <v>0.36088909124926088</v>
      </c>
      <c r="D72" s="3">
        <v>0.30769052240131595</v>
      </c>
      <c r="E72" s="3">
        <v>0.18924317879735364</v>
      </c>
      <c r="F72" s="3">
        <f t="shared" si="0"/>
        <v>1</v>
      </c>
      <c r="G72" s="4">
        <f t="shared" si="1"/>
        <v>9.77000000000003E-2</v>
      </c>
      <c r="H72" s="3">
        <f t="array" ref="H72">SQRT(MMULT(B72:E72,MMULT($B$3:$E$6,TRANSPOSE(B72:E72))))</f>
        <v>9.4633762218133535E-2</v>
      </c>
      <c r="I72" s="3">
        <f t="array" ref="I72">MMULT(B72:E72,TRANSPOSE($P$3:$S$3))</f>
        <v>9.7700000078537241E-2</v>
      </c>
    </row>
    <row r="73" spans="1:9" x14ac:dyDescent="0.2">
      <c r="A73" s="3" t="s">
        <v>76</v>
      </c>
      <c r="B73" s="3">
        <v>0.14990813575361464</v>
      </c>
      <c r="C73" s="3">
        <v>0.36388026793977879</v>
      </c>
      <c r="D73" s="3">
        <v>0.29926798677111244</v>
      </c>
      <c r="E73" s="3">
        <v>0.18694360953549413</v>
      </c>
      <c r="F73" s="3">
        <f t="shared" si="0"/>
        <v>1</v>
      </c>
      <c r="G73" s="4">
        <f t="shared" si="1"/>
        <v>9.8400000000000307E-2</v>
      </c>
      <c r="H73" s="3">
        <f t="array" ref="H73">SQRT(MMULT(B73:E73,MMULT($B$3:$E$6,TRANSPOSE(B73:E73))))</f>
        <v>9.5279717140103082E-2</v>
      </c>
      <c r="I73" s="3">
        <f t="array" ref="I73">MMULT(B73:E73,TRANSPOSE($P$3:$S$3))</f>
        <v>9.8399990070428975E-2</v>
      </c>
    </row>
    <row r="74" spans="1:9" x14ac:dyDescent="0.2">
      <c r="A74" s="3" t="s">
        <v>77</v>
      </c>
      <c r="B74" s="3">
        <v>0.15763920198195649</v>
      </c>
      <c r="C74" s="3">
        <v>0.36687148220012145</v>
      </c>
      <c r="D74" s="3">
        <v>0.29084535090621372</v>
      </c>
      <c r="E74" s="3">
        <v>0.18464396491170837</v>
      </c>
      <c r="F74" s="3">
        <f t="shared" si="0"/>
        <v>1</v>
      </c>
      <c r="G74" s="4">
        <f t="shared" si="1"/>
        <v>9.9100000000000313E-2</v>
      </c>
      <c r="H74" s="3">
        <f t="array" ref="H74">SQRT(MMULT(B74:E74,MMULT($B$3:$E$6,TRANSPOSE(B74:E74))))</f>
        <v>9.5943716213013133E-2</v>
      </c>
      <c r="I74" s="3">
        <f t="array" ref="I74">MMULT(B74:E74,TRANSPOSE($P$3:$S$3))</f>
        <v>9.9099990062321064E-2</v>
      </c>
    </row>
    <row r="75" spans="1:9" x14ac:dyDescent="0.2">
      <c r="A75" s="3" t="s">
        <v>78</v>
      </c>
      <c r="B75" s="3">
        <v>0.16537035850188653</v>
      </c>
      <c r="C75" s="3">
        <v>0.3698627343146817</v>
      </c>
      <c r="D75" s="3">
        <v>0.28242257358379125</v>
      </c>
      <c r="E75" s="3">
        <v>0.18234433359964072</v>
      </c>
      <c r="F75" s="3">
        <f t="shared" si="0"/>
        <v>1.0000000000000002</v>
      </c>
      <c r="G75" s="4">
        <f t="shared" si="1"/>
        <v>9.9800000000000319E-2</v>
      </c>
      <c r="H75" s="3">
        <f t="array" ref="H75">SQRT(MMULT(B75:E75,MMULT($B$3:$E$6,TRANSPOSE(B75:E75))))</f>
        <v>9.6625388400878726E-2</v>
      </c>
      <c r="I75" s="3">
        <f t="array" ref="I75">MMULT(B75:E75,TRANSPOSE($P$3:$S$3))</f>
        <v>9.980000005735841E-2</v>
      </c>
    </row>
    <row r="76" spans="1:9" x14ac:dyDescent="0.2">
      <c r="A76" s="3" t="s">
        <v>79</v>
      </c>
      <c r="B76" s="3">
        <v>0.17310136907091539</v>
      </c>
      <c r="C76" s="3">
        <v>0.37285396292650619</v>
      </c>
      <c r="D76" s="3">
        <v>0.27399990016305609</v>
      </c>
      <c r="E76" s="3">
        <v>0.18004476783952239</v>
      </c>
      <c r="F76" s="3">
        <f t="shared" ref="F76:F110" si="2">SUM(B76:E76)</f>
        <v>1</v>
      </c>
      <c r="G76" s="4">
        <f t="shared" si="1"/>
        <v>0.10050000000000033</v>
      </c>
      <c r="H76" s="3">
        <f t="array" ref="H76">SQRT(MMULT(B76:E76,MMULT($B$3:$E$6,TRANSPOSE(B76:E76))))</f>
        <v>9.7324343072956704E-2</v>
      </c>
      <c r="I76" s="3">
        <f t="array" ref="I76">MMULT(B76:E76,TRANSPOSE($P$3:$S$3))</f>
        <v>0.10050000004610446</v>
      </c>
    </row>
    <row r="77" spans="1:9" x14ac:dyDescent="0.2">
      <c r="A77" s="3" t="s">
        <v>80</v>
      </c>
      <c r="B77" s="3">
        <v>0.18083244915041416</v>
      </c>
      <c r="C77" s="3">
        <v>0.37584516956260061</v>
      </c>
      <c r="D77" s="3">
        <v>0.26557727197741487</v>
      </c>
      <c r="E77" s="3">
        <v>0.17774510930957035</v>
      </c>
      <c r="F77" s="3">
        <f t="shared" si="2"/>
        <v>1</v>
      </c>
      <c r="G77" s="4">
        <f t="shared" ref="G77:G105" si="3">G76+0.0007</f>
        <v>0.10120000000000033</v>
      </c>
      <c r="H77" s="3">
        <f t="array" ref="H77">SQRT(MMULT(B77:E77,MMULT($B$3:$E$6,TRANSPOSE(B77:E77))))</f>
        <v>9.8040219957591532E-2</v>
      </c>
      <c r="I77" s="3">
        <f t="array" ref="I77">MMULT(B77:E77,TRANSPOSE($P$3:$S$3))</f>
        <v>0.10119999998534243</v>
      </c>
    </row>
    <row r="78" spans="1:9" x14ac:dyDescent="0.2">
      <c r="A78" s="3" t="s">
        <v>81</v>
      </c>
      <c r="B78" s="3">
        <v>0.18856344231323455</v>
      </c>
      <c r="C78" s="3">
        <v>0.37883639980450318</v>
      </c>
      <c r="D78" s="3">
        <v>0.25715458329825258</v>
      </c>
      <c r="E78" s="3">
        <v>0.17544557458400978</v>
      </c>
      <c r="F78" s="3">
        <f t="shared" si="2"/>
        <v>1</v>
      </c>
      <c r="G78" s="4">
        <f t="shared" si="3"/>
        <v>0.10190000000000034</v>
      </c>
      <c r="H78" s="3">
        <f t="array" ref="H78">SQRT(MMULT(B78:E78,MMULT($B$3:$E$6,TRANSPOSE(B78:E78))))</f>
        <v>9.8772651272082637E-2</v>
      </c>
      <c r="I78" s="3">
        <f t="array" ref="I78">MMULT(B78:E78,TRANSPOSE($P$3:$S$3))</f>
        <v>0.101900000029888</v>
      </c>
    </row>
    <row r="79" spans="1:9" x14ac:dyDescent="0.2">
      <c r="A79" s="3" t="s">
        <v>82</v>
      </c>
      <c r="B79" s="3">
        <v>0.19629446213250099</v>
      </c>
      <c r="C79" s="3">
        <v>0.38182766374862104</v>
      </c>
      <c r="D79" s="3">
        <v>0.24873194472827109</v>
      </c>
      <c r="E79" s="3">
        <v>0.17314592939060691</v>
      </c>
      <c r="F79" s="3">
        <f t="shared" si="2"/>
        <v>1</v>
      </c>
      <c r="G79" s="4">
        <f t="shared" si="3"/>
        <v>0.10260000000000034</v>
      </c>
      <c r="H79" s="3">
        <f t="array" ref="H79">SQRT(MMULT(B79:E79,MMULT($B$3:$E$6,TRANSPOSE(B79:E79))))</f>
        <v>9.9521271319634508E-2</v>
      </c>
      <c r="I79" s="3">
        <f t="array" ref="I79">MMULT(B79:E79,TRANSPOSE($P$3:$S$3))</f>
        <v>0.1025999999873243</v>
      </c>
    </row>
    <row r="80" spans="1:9" x14ac:dyDescent="0.2">
      <c r="A80" s="3" t="s">
        <v>83</v>
      </c>
      <c r="B80" s="3">
        <v>0.20402551418084933</v>
      </c>
      <c r="C80" s="3">
        <v>0.38481887412426474</v>
      </c>
      <c r="D80" s="3">
        <v>0.24030929348536065</v>
      </c>
      <c r="E80" s="3">
        <v>0.17084631820952523</v>
      </c>
      <c r="F80" s="3">
        <f t="shared" si="2"/>
        <v>1</v>
      </c>
      <c r="G80" s="4">
        <f t="shared" si="3"/>
        <v>0.10330000000000035</v>
      </c>
      <c r="H80" s="3">
        <f t="array" ref="H80">SQRT(MMULT(B80:E80,MMULT($B$3:$E$6,TRANSPOSE(B80:E80))))</f>
        <v>0.10028571769671422</v>
      </c>
      <c r="I80" s="3">
        <f t="array" ref="I80">MMULT(B80:E80,TRANSPOSE($P$3:$S$3))</f>
        <v>0.10329999998842425</v>
      </c>
    </row>
    <row r="81" spans="1:9" x14ac:dyDescent="0.2">
      <c r="A81" s="3" t="s">
        <v>84</v>
      </c>
      <c r="B81" s="3">
        <v>0.21175659162527027</v>
      </c>
      <c r="C81" s="3">
        <v>0.38781006813524616</v>
      </c>
      <c r="D81" s="3">
        <v>0.23188665217204477</v>
      </c>
      <c r="E81" s="3">
        <v>0.1685466880674388</v>
      </c>
      <c r="F81" s="3">
        <f t="shared" si="2"/>
        <v>1</v>
      </c>
      <c r="G81" s="4">
        <f t="shared" si="3"/>
        <v>0.10400000000000036</v>
      </c>
      <c r="H81" s="3">
        <f t="array" ref="H81">SQRT(MMULT(B81:E81,MMULT($B$3:$E$6,TRANSPOSE(B81:E81))))</f>
        <v>0.10106563123439252</v>
      </c>
      <c r="I81" s="3">
        <f t="array" ref="I81">MMULT(B81:E81,TRANSPOSE($P$3:$S$3))</f>
        <v>0.10399999998956419</v>
      </c>
    </row>
    <row r="82" spans="1:9" x14ac:dyDescent="0.2">
      <c r="A82" s="3" t="s">
        <v>85</v>
      </c>
      <c r="B82" s="3">
        <v>0.2194875933262857</v>
      </c>
      <c r="C82" s="3">
        <v>0.390801307059787</v>
      </c>
      <c r="D82" s="3">
        <v>0.22346397836828172</v>
      </c>
      <c r="E82" s="3">
        <v>0.16624712124564558</v>
      </c>
      <c r="F82" s="3">
        <f t="shared" si="2"/>
        <v>1</v>
      </c>
      <c r="G82" s="4">
        <f t="shared" si="3"/>
        <v>0.10470000000000036</v>
      </c>
      <c r="H82" s="3">
        <f t="array" ref="H82">SQRT(MMULT(B82:E82,MMULT($B$3:$E$6,TRANSPOSE(B82:E82))))</f>
        <v>0.10186065665238711</v>
      </c>
      <c r="I82" s="3">
        <f t="array" ref="I82">MMULT(B82:E82,TRANSPOSE($P$3:$S$3))</f>
        <v>0.10469999999072306</v>
      </c>
    </row>
    <row r="83" spans="1:9" x14ac:dyDescent="0.2">
      <c r="A83" s="3" t="s">
        <v>86</v>
      </c>
      <c r="B83" s="3">
        <v>0.22721878400714207</v>
      </c>
      <c r="C83" s="3">
        <v>0.39379252405223275</v>
      </c>
      <c r="D83" s="3">
        <v>0.21504120464500795</v>
      </c>
      <c r="E83" s="3">
        <v>0.16394748729561728</v>
      </c>
      <c r="F83" s="3">
        <f t="shared" si="2"/>
        <v>1.0000000000000002</v>
      </c>
      <c r="G83" s="4">
        <f t="shared" si="3"/>
        <v>0.10540000000000037</v>
      </c>
      <c r="H83" s="3">
        <f t="array" ref="H83">SQRT(MMULT(B83:E83,MMULT($B$3:$E$6,TRANSPOSE(B83:E83))))</f>
        <v>0.10267045456533415</v>
      </c>
      <c r="I83" s="3">
        <f t="array" ref="I83">MMULT(B83:E83,TRANSPOSE($P$3:$S$3))</f>
        <v>0.10540000998934818</v>
      </c>
    </row>
    <row r="84" spans="1:9" x14ac:dyDescent="0.2">
      <c r="A84" s="3" t="s">
        <v>87</v>
      </c>
      <c r="B84" s="3">
        <v>0.23494975902194878</v>
      </c>
      <c r="C84" s="3">
        <v>0.39678378890397925</v>
      </c>
      <c r="D84" s="3">
        <v>0.20661852707591111</v>
      </c>
      <c r="E84" s="3">
        <v>0.16164792499816094</v>
      </c>
      <c r="F84" s="3">
        <f t="shared" si="2"/>
        <v>1</v>
      </c>
      <c r="G84" s="4">
        <f t="shared" si="3"/>
        <v>0.10610000000000037</v>
      </c>
      <c r="H84" s="3">
        <f t="array" ref="H84">SQRT(MMULT(B84:E84,MMULT($B$3:$E$6,TRANSPOSE(B84:E84))))</f>
        <v>0.10349465534283452</v>
      </c>
      <c r="I84" s="3">
        <f t="array" ref="I84">MMULT(B84:E84,TRANSPOSE($P$3:$S$3))</f>
        <v>0.10610000998123999</v>
      </c>
    </row>
    <row r="85" spans="1:9" x14ac:dyDescent="0.2">
      <c r="A85" s="3" t="s">
        <v>88</v>
      </c>
      <c r="B85" s="3">
        <v>0.24268087017059364</v>
      </c>
      <c r="C85" s="3">
        <v>0.39977492542156012</v>
      </c>
      <c r="D85" s="3">
        <v>0.1981958727822089</v>
      </c>
      <c r="E85" s="3">
        <v>0.15934833162563733</v>
      </c>
      <c r="F85" s="3">
        <f t="shared" si="2"/>
        <v>0.99999999999999989</v>
      </c>
      <c r="G85" s="4">
        <f t="shared" si="3"/>
        <v>0.10680000000000038</v>
      </c>
      <c r="H85" s="3">
        <f t="array" ref="H85">SQRT(MMULT(B85:E85,MMULT($B$3:$E$6,TRANSPOSE(B85:E85))))</f>
        <v>0.10433292884934339</v>
      </c>
      <c r="I85" s="3">
        <f t="array" ref="I85">MMULT(B85:E85,TRANSPOSE($P$3:$S$3))</f>
        <v>0.10680000997313202</v>
      </c>
    </row>
    <row r="86" spans="1:9" x14ac:dyDescent="0.2">
      <c r="A86" s="3" t="s">
        <v>89</v>
      </c>
      <c r="B86" s="3">
        <v>0.25041186224792983</v>
      </c>
      <c r="C86" s="3">
        <v>0.402766247513833</v>
      </c>
      <c r="D86" s="3">
        <v>0.18977325221697139</v>
      </c>
      <c r="E86" s="3">
        <v>0.15704863802126573</v>
      </c>
      <c r="F86" s="3">
        <f t="shared" si="2"/>
        <v>1</v>
      </c>
      <c r="G86" s="4">
        <f t="shared" si="3"/>
        <v>0.10750000000000039</v>
      </c>
      <c r="H86" s="3">
        <f t="array" ref="H86">SQRT(MMULT(B86:E86,MMULT($B$3:$E$6,TRANSPOSE(B86:E86))))</f>
        <v>0.1051849386267001</v>
      </c>
      <c r="I86" s="3">
        <f t="array" ref="I86">MMULT(B86:E86,TRANSPOSE($P$3:$S$3))</f>
        <v>0.10750000996502412</v>
      </c>
    </row>
    <row r="87" spans="1:9" x14ac:dyDescent="0.2">
      <c r="A87" s="3" t="s">
        <v>90</v>
      </c>
      <c r="B87" s="3">
        <v>0.25814297774261602</v>
      </c>
      <c r="C87" s="3">
        <v>0.40575739232477981</v>
      </c>
      <c r="D87" s="3">
        <v>0.1813506078057863</v>
      </c>
      <c r="E87" s="3">
        <v>0.15474902212681801</v>
      </c>
      <c r="F87" s="3">
        <f t="shared" si="2"/>
        <v>1</v>
      </c>
      <c r="G87" s="4">
        <f t="shared" si="3"/>
        <v>0.10820000000000039</v>
      </c>
      <c r="H87" s="3">
        <f t="array" ref="H87">SQRT(MMULT(B87:E87,MMULT($B$3:$E$6,TRANSPOSE(B87:E87))))</f>
        <v>0.10605035360333932</v>
      </c>
      <c r="I87" s="3">
        <f t="array" ref="I87">MMULT(B87:E87,TRANSPOSE($P$3:$S$3))</f>
        <v>0.10820000995691625</v>
      </c>
    </row>
    <row r="88" spans="1:9" x14ac:dyDescent="0.2">
      <c r="A88" s="3" t="s">
        <v>91</v>
      </c>
      <c r="B88" s="3">
        <v>0.26587402087446538</v>
      </c>
      <c r="C88" s="3">
        <v>0.408748609570735</v>
      </c>
      <c r="D88" s="3">
        <v>0.17292795413381146</v>
      </c>
      <c r="E88" s="3">
        <v>0.15244941542098828</v>
      </c>
      <c r="F88" s="3">
        <f t="shared" si="2"/>
        <v>1</v>
      </c>
      <c r="G88" s="4">
        <f t="shared" si="3"/>
        <v>0.1089000000000004</v>
      </c>
      <c r="H88" s="3">
        <f t="array" ref="H88">SQRT(MMULT(B88:E88,MMULT($B$3:$E$6,TRANSPOSE(B88:E88))))</f>
        <v>0.10692884829995246</v>
      </c>
      <c r="I88" s="3">
        <f t="array" ref="I88">MMULT(B88:E88,TRANSPOSE($P$3:$S$3))</f>
        <v>0.1089000099488082</v>
      </c>
    </row>
    <row r="89" spans="1:9" x14ac:dyDescent="0.2">
      <c r="A89" s="3" t="s">
        <v>92</v>
      </c>
      <c r="B89" s="3">
        <v>0.27360499122459875</v>
      </c>
      <c r="C89" s="3">
        <v>0.41173989355097312</v>
      </c>
      <c r="D89" s="3">
        <v>0.16450528663316602</v>
      </c>
      <c r="E89" s="3">
        <v>0.15014982859126222</v>
      </c>
      <c r="F89" s="3">
        <f t="shared" si="2"/>
        <v>1</v>
      </c>
      <c r="G89" s="4">
        <f t="shared" si="3"/>
        <v>0.10960000000000041</v>
      </c>
      <c r="H89" s="3">
        <f t="array" ref="H89">SQRT(MMULT(B89:E89,MMULT($B$3:$E$6,TRANSPOSE(B89:E89))))</f>
        <v>0.10782010300489173</v>
      </c>
      <c r="I89" s="3">
        <f t="array" ref="I89">MMULT(B89:E89,TRANSPOSE($P$3:$S$3))</f>
        <v>0.10960000994070004</v>
      </c>
    </row>
    <row r="90" spans="1:9" x14ac:dyDescent="0.2">
      <c r="A90" s="3" t="s">
        <v>93</v>
      </c>
      <c r="B90" s="3">
        <v>0.28133603487980069</v>
      </c>
      <c r="C90" s="3">
        <v>0.41473092479324641</v>
      </c>
      <c r="D90" s="3">
        <v>0.15608274373861192</v>
      </c>
      <c r="E90" s="3">
        <v>0.14785029658834109</v>
      </c>
      <c r="F90" s="3">
        <f t="shared" si="2"/>
        <v>1</v>
      </c>
      <c r="G90" s="4">
        <f t="shared" si="3"/>
        <v>0.11030000000000041</v>
      </c>
      <c r="H90" s="3">
        <f t="array" ref="H90">SQRT(MMULT(B90:E90,MMULT($B$3:$E$6,TRANSPOSE(B90:E90))))</f>
        <v>0.10872379092371942</v>
      </c>
      <c r="I90" s="3">
        <f t="array" ref="I90">MMULT(B90:E90,TRANSPOSE($P$3:$S$3))</f>
        <v>0.11029999993259185</v>
      </c>
    </row>
    <row r="91" spans="1:9" x14ac:dyDescent="0.2">
      <c r="A91" s="3" t="s">
        <v>94</v>
      </c>
      <c r="B91" s="3">
        <v>0.28906697175235946</v>
      </c>
      <c r="C91" s="3">
        <v>0.4177222915912408</v>
      </c>
      <c r="D91" s="3">
        <v>0.1476601083234588</v>
      </c>
      <c r="E91" s="3">
        <v>0.14555062833294105</v>
      </c>
      <c r="F91" s="3">
        <f t="shared" si="2"/>
        <v>1</v>
      </c>
      <c r="G91" s="4">
        <f t="shared" si="3"/>
        <v>0.11100000000000042</v>
      </c>
      <c r="H91" s="3">
        <f t="array" ref="H91">SQRT(MMULT(B91:E91,MMULT($B$3:$E$6,TRANSPOSE(B91:E91))))</f>
        <v>0.10963963011813134</v>
      </c>
      <c r="I91" s="3">
        <f t="array" ref="I91">MMULT(B91:E91,TRANSPOSE($P$3:$S$3))</f>
        <v>0.11099999992448384</v>
      </c>
    </row>
    <row r="92" spans="1:9" x14ac:dyDescent="0.2">
      <c r="A92" s="3" t="s">
        <v>95</v>
      </c>
      <c r="B92" s="3">
        <v>0.29679811355912583</v>
      </c>
      <c r="C92" s="3">
        <v>0.42071350273502173</v>
      </c>
      <c r="D92" s="3">
        <v>0.13923728811131847</v>
      </c>
      <c r="E92" s="3">
        <v>0.14325109559453403</v>
      </c>
      <c r="F92" s="3">
        <f t="shared" si="2"/>
        <v>1</v>
      </c>
      <c r="G92" s="4">
        <f t="shared" si="3"/>
        <v>0.11170000000000042</v>
      </c>
      <c r="H92" s="3">
        <f t="array" ref="H92">SQRT(MMULT(B92:E92,MMULT($B$3:$E$6,TRANSPOSE(B92:E92))))</f>
        <v>0.1105673194705412</v>
      </c>
      <c r="I92" s="3">
        <f t="array" ref="I92">MMULT(B92:E92,TRANSPOSE($P$3:$S$3))</f>
        <v>0.11170000991637578</v>
      </c>
    </row>
    <row r="93" spans="1:9" x14ac:dyDescent="0.2">
      <c r="A93" s="3" t="s">
        <v>96</v>
      </c>
      <c r="B93" s="3">
        <v>0.30452917728368611</v>
      </c>
      <c r="C93" s="3">
        <v>0.42370469193206639</v>
      </c>
      <c r="D93" s="3">
        <v>0.13081463159002032</v>
      </c>
      <c r="E93" s="3">
        <v>0.1409514991942272</v>
      </c>
      <c r="F93" s="3">
        <f t="shared" si="2"/>
        <v>1</v>
      </c>
      <c r="G93" s="4">
        <f t="shared" si="3"/>
        <v>0.11240000000000043</v>
      </c>
      <c r="H93" s="3">
        <f t="array" ref="H93">SQRT(MMULT(B93:E93,MMULT($B$3:$E$6,TRANSPOSE(B93:E93))))</f>
        <v>0.11150653704430553</v>
      </c>
      <c r="I93" s="3">
        <f t="array" ref="I93">MMULT(B93:E93,TRANSPOSE($P$3:$S$3))</f>
        <v>0.11240000990826776</v>
      </c>
    </row>
    <row r="94" spans="1:9" x14ac:dyDescent="0.2">
      <c r="A94" s="3" t="s">
        <v>97</v>
      </c>
      <c r="B94" s="3">
        <v>0.3122601748742998</v>
      </c>
      <c r="C94" s="3">
        <v>0.42669600924953777</v>
      </c>
      <c r="D94" s="3">
        <v>0.12239201227912938</v>
      </c>
      <c r="E94" s="3">
        <v>0.13865180359703308</v>
      </c>
      <c r="F94" s="3">
        <f t="shared" si="2"/>
        <v>1</v>
      </c>
      <c r="G94" s="4">
        <f t="shared" si="3"/>
        <v>0.11310000000000044</v>
      </c>
      <c r="H94" s="3">
        <f t="array" ref="H94">SQRT(MMULT(B94:E94,MMULT($B$3:$E$6,TRANSPOSE(B94:E94))))</f>
        <v>0.11245700683459439</v>
      </c>
      <c r="I94" s="3">
        <f t="array" ref="I94">MMULT(B94:E94,TRANSPOSE($P$3:$S$3))</f>
        <v>0.11310000990015989</v>
      </c>
    </row>
    <row r="95" spans="1:9" x14ac:dyDescent="0.2">
      <c r="A95" s="3" t="s">
        <v>98</v>
      </c>
      <c r="B95" s="3">
        <v>0.31999122320987133</v>
      </c>
      <c r="C95" s="3">
        <v>0.42968721141250454</v>
      </c>
      <c r="D95" s="3">
        <v>0.11396935198975999</v>
      </c>
      <c r="E95" s="3">
        <v>0.13635221338786405</v>
      </c>
      <c r="F95" s="3">
        <f t="shared" si="2"/>
        <v>1</v>
      </c>
      <c r="G95" s="4">
        <f t="shared" si="3"/>
        <v>0.11380000000000044</v>
      </c>
      <c r="H95" s="3">
        <f t="array" ref="H95">SQRT(MMULT(B95:E95,MMULT($B$3:$E$6,TRANSPOSE(B95:E95))))</f>
        <v>0.11341844595412555</v>
      </c>
      <c r="I95" s="3">
        <f t="array" ref="I95">MMULT(B95:E95,TRANSPOSE($P$3:$S$3))</f>
        <v>0.1138000098920518</v>
      </c>
    </row>
    <row r="96" spans="1:9" x14ac:dyDescent="0.2">
      <c r="A96" s="3" t="s">
        <v>99</v>
      </c>
      <c r="B96" s="3">
        <v>0.32772217618915678</v>
      </c>
      <c r="C96" s="3">
        <v>0.43267832105052356</v>
      </c>
      <c r="D96" s="3">
        <v>0.10554678836590713</v>
      </c>
      <c r="E96" s="3">
        <v>0.13405271439441258</v>
      </c>
      <c r="F96" s="3">
        <f t="shared" si="2"/>
        <v>1</v>
      </c>
      <c r="G96" s="4">
        <f t="shared" si="3"/>
        <v>0.11450000000000045</v>
      </c>
      <c r="H96" s="3">
        <f t="array" ref="H96">SQRT(MMULT(B96:E96,MMULT($B$3:$E$6,TRANSPOSE(B96:E96))))</f>
        <v>0.11439056385285544</v>
      </c>
      <c r="I96" s="3">
        <f t="array" ref="I96">MMULT(B96:E96,TRANSPOSE($P$3:$S$3))</f>
        <v>0.11449999988394345</v>
      </c>
    </row>
    <row r="97" spans="1:9" x14ac:dyDescent="0.2">
      <c r="A97" s="3" t="s">
        <v>100</v>
      </c>
      <c r="B97" s="3">
        <v>0.33545344286177209</v>
      </c>
      <c r="C97" s="3">
        <v>0.43566947842561626</v>
      </c>
      <c r="D97" s="3">
        <v>9.7124036668552127E-2</v>
      </c>
      <c r="E97" s="3">
        <v>0.13175304204405955</v>
      </c>
      <c r="F97" s="3">
        <f t="shared" si="2"/>
        <v>1</v>
      </c>
      <c r="G97" s="4">
        <f t="shared" si="3"/>
        <v>0.11520000000000045</v>
      </c>
      <c r="H97" s="3">
        <f t="array" ref="H97">SQRT(MMULT(B97:E97,MMULT($B$3:$E$6,TRANSPOSE(B97:E97))))</f>
        <v>0.11537313212860965</v>
      </c>
      <c r="I97" s="3">
        <f t="array" ref="I97">MMULT(B97:E97,TRANSPOSE($P$3:$S$3))</f>
        <v>0.11520000987583587</v>
      </c>
    </row>
    <row r="98" spans="1:9" x14ac:dyDescent="0.2">
      <c r="A98" s="3" t="s">
        <v>101</v>
      </c>
      <c r="B98" s="3">
        <v>0.34318436991973361</v>
      </c>
      <c r="C98" s="3">
        <v>0.43866079946581993</v>
      </c>
      <c r="D98" s="3">
        <v>8.8701358998625787E-2</v>
      </c>
      <c r="E98" s="3">
        <v>0.12945347161582083</v>
      </c>
      <c r="F98" s="3">
        <f t="shared" si="2"/>
        <v>1</v>
      </c>
      <c r="G98" s="4">
        <f t="shared" si="3"/>
        <v>0.11590000000000046</v>
      </c>
      <c r="H98" s="3">
        <f t="array" ref="H98">SQRT(MMULT(B98:E98,MMULT($B$3:$E$6,TRANSPOSE(B98:E98))))</f>
        <v>0.11636584488254853</v>
      </c>
      <c r="I98" s="3">
        <f t="array" ref="I98">MMULT(B98:E98,TRANSPOSE($P$3:$S$3))</f>
        <v>0.11590000986772764</v>
      </c>
    </row>
    <row r="99" spans="1:9" x14ac:dyDescent="0.2">
      <c r="A99" s="3" t="s">
        <v>102</v>
      </c>
      <c r="B99" s="3">
        <v>0.35091540094595236</v>
      </c>
      <c r="C99" s="3">
        <v>0.44165208301314668</v>
      </c>
      <c r="D99" s="3">
        <v>8.0278743744562397E-2</v>
      </c>
      <c r="E99" s="3">
        <v>0.12715377229633865</v>
      </c>
      <c r="F99" s="3">
        <f t="shared" si="2"/>
        <v>1.0000000000000002</v>
      </c>
      <c r="G99" s="4">
        <f t="shared" si="3"/>
        <v>0.11660000000000047</v>
      </c>
      <c r="H99" s="3">
        <f t="array" ref="H99">SQRT(MMULT(B99:E99,MMULT($B$3:$E$6,TRANSPOSE(B99:E99))))</f>
        <v>0.11736845831467542</v>
      </c>
      <c r="I99" s="3">
        <f t="array" ref="I99">MMULT(B99:E99,TRANSPOSE($P$3:$S$3))</f>
        <v>0.1166000098596198</v>
      </c>
    </row>
    <row r="100" spans="1:9" x14ac:dyDescent="0.2">
      <c r="A100" s="3" t="s">
        <v>103</v>
      </c>
      <c r="B100" s="3">
        <v>0.35864648507305197</v>
      </c>
      <c r="C100" s="3">
        <v>0.4446431960970334</v>
      </c>
      <c r="D100" s="3">
        <v>7.1856048755861712E-2</v>
      </c>
      <c r="E100" s="3">
        <v>0.12485427007405291</v>
      </c>
      <c r="F100" s="3">
        <f t="shared" si="2"/>
        <v>1</v>
      </c>
      <c r="G100" s="4">
        <f t="shared" si="3"/>
        <v>0.11730000000000047</v>
      </c>
      <c r="H100" s="3">
        <f t="array" ref="H100">SQRT(MMULT(B100:E100,MMULT($B$3:$E$6,TRANSPOSE(B100:E100))))</f>
        <v>0.11838072086690403</v>
      </c>
      <c r="I100" s="3">
        <f t="array" ref="I100">MMULT(B100:E100,TRANSPOSE($P$3:$S$3))</f>
        <v>0.11730000985151159</v>
      </c>
    </row>
    <row r="101" spans="1:9" x14ac:dyDescent="0.2">
      <c r="A101" s="3" t="s">
        <v>104</v>
      </c>
      <c r="B101" s="3">
        <v>0.366377489318439</v>
      </c>
      <c r="C101" s="3">
        <v>0.44763446417426372</v>
      </c>
      <c r="D101" s="3">
        <v>6.3433398889476994E-2</v>
      </c>
      <c r="E101" s="3">
        <v>0.12255464761782037</v>
      </c>
      <c r="F101" s="3">
        <f t="shared" si="2"/>
        <v>1</v>
      </c>
      <c r="G101" s="4">
        <f t="shared" si="3"/>
        <v>0.11800000000000048</v>
      </c>
      <c r="H101" s="3">
        <f t="array" ref="H101">SQRT(MMULT(B101:E101,MMULT($B$3:$E$6,TRANSPOSE(B101:E101))))</f>
        <v>0.11940238713125707</v>
      </c>
      <c r="I101" s="3">
        <f t="array" ref="I101">MMULT(B101:E101,TRANSPOSE($P$3:$S$3))</f>
        <v>0.11800000984340356</v>
      </c>
    </row>
    <row r="102" spans="1:9" x14ac:dyDescent="0.2">
      <c r="A102" s="3" t="s">
        <v>105</v>
      </c>
      <c r="B102" s="3">
        <v>0.37410854205819738</v>
      </c>
      <c r="C102" s="3">
        <v>0.45062566427204831</v>
      </c>
      <c r="D102" s="3">
        <v>5.5010740892287677E-2</v>
      </c>
      <c r="E102" s="3">
        <v>0.12025505277746672</v>
      </c>
      <c r="F102" s="3">
        <f t="shared" si="2"/>
        <v>1</v>
      </c>
      <c r="G102" s="4">
        <f t="shared" si="3"/>
        <v>0.11870000000000049</v>
      </c>
      <c r="H102" s="3">
        <f t="array" ref="H102">SQRT(MMULT(B102:E102,MMULT($B$3:$E$6,TRANSPOSE(B102:E102))))</f>
        <v>0.12043321778557421</v>
      </c>
      <c r="I102" s="3">
        <f t="array" ref="I102">MMULT(B102:E102,TRANSPOSE($P$3:$S$3))</f>
        <v>0.11870000983529554</v>
      </c>
    </row>
    <row r="103" spans="1:9" x14ac:dyDescent="0.2">
      <c r="A103" s="3" t="s">
        <v>106</v>
      </c>
      <c r="B103" s="3">
        <v>0.38183962473676153</v>
      </c>
      <c r="C103" s="3">
        <v>0.4536168340041008</v>
      </c>
      <c r="D103" s="3">
        <v>4.6588086433695927E-2</v>
      </c>
      <c r="E103" s="3">
        <v>0.11795545482544179</v>
      </c>
      <c r="F103" s="3">
        <f t="shared" si="2"/>
        <v>1</v>
      </c>
      <c r="G103" s="4">
        <f t="shared" si="3"/>
        <v>0.11940000000000049</v>
      </c>
      <c r="H103" s="3">
        <f t="array" ref="H103">SQRT(MMULT(B103:E103,MMULT($B$3:$E$6,TRANSPOSE(B103:E103))))</f>
        <v>0.1214729795205617</v>
      </c>
      <c r="I103" s="3">
        <f t="array" ref="I103">MMULT(B103:E103,TRANSPOSE($P$3:$S$3))</f>
        <v>0.11940000982718754</v>
      </c>
    </row>
    <row r="104" spans="1:9" x14ac:dyDescent="0.2">
      <c r="A104" s="3" t="s">
        <v>107</v>
      </c>
      <c r="B104" s="3">
        <v>0.38957057221495012</v>
      </c>
      <c r="C104" s="3">
        <v>0.45660805998679715</v>
      </c>
      <c r="D104" s="3">
        <v>3.8165603862630203E-2</v>
      </c>
      <c r="E104" s="3">
        <v>0.11565576393562259</v>
      </c>
      <c r="F104" s="3">
        <f t="shared" si="2"/>
        <v>1</v>
      </c>
      <c r="G104" s="4">
        <f t="shared" si="3"/>
        <v>0.1201000000000005</v>
      </c>
      <c r="H104" s="3">
        <f t="array" ref="H104">SQRT(MMULT(B104:E104,MMULT($B$3:$E$6,TRANSPOSE(B104:E104))))</f>
        <v>0.12252142992000822</v>
      </c>
      <c r="I104" s="3">
        <f t="array" ref="I104">MMULT(B104:E104,TRANSPOSE($P$3:$S$3))</f>
        <v>0.12009999981907955</v>
      </c>
    </row>
    <row r="105" spans="1:9" x14ac:dyDescent="0.2">
      <c r="A105" s="3" t="s">
        <v>108</v>
      </c>
      <c r="B105" s="3">
        <v>0.39730173617064313</v>
      </c>
      <c r="C105" s="3">
        <v>0.45959930431301527</v>
      </c>
      <c r="D105" s="3">
        <v>2.9742827315039598E-2</v>
      </c>
      <c r="E105" s="3">
        <v>0.11335613220130202</v>
      </c>
      <c r="F105" s="3">
        <f t="shared" si="2"/>
        <v>1</v>
      </c>
      <c r="G105" s="4">
        <f t="shared" si="3"/>
        <v>0.1208000000000005</v>
      </c>
      <c r="H105" s="3">
        <f t="array" ref="H105">SQRT(MMULT(B105:E105,MMULT($B$3:$E$6,TRANSPOSE(B105:E105))))</f>
        <v>0.12357839256943255</v>
      </c>
      <c r="I105" s="3">
        <f t="array" ref="I105">MMULT(B105:E105,TRANSPOSE($P$3:$S$3))</f>
        <v>0.12080000981097276</v>
      </c>
    </row>
    <row r="106" spans="1:9" x14ac:dyDescent="0.2">
      <c r="A106" s="3" t="s">
        <v>109</v>
      </c>
      <c r="B106" s="3">
        <v>0.40503266937002208</v>
      </c>
      <c r="C106" s="3">
        <v>0.4625904057130425</v>
      </c>
      <c r="D106" s="3">
        <v>2.1320240478594463E-2</v>
      </c>
      <c r="E106" s="3">
        <v>0.11105668443834092</v>
      </c>
      <c r="F106" s="3">
        <f t="shared" si="2"/>
        <v>1</v>
      </c>
      <c r="G106" s="4">
        <f>G105+0.0007</f>
        <v>0.12150000000000051</v>
      </c>
      <c r="H106" s="3">
        <f t="array" ref="H106">SQRT(MMULT(B106:E106,MMULT($B$3:$E$6,TRANSPOSE(B106:E106))))</f>
        <v>0.12464359129579762</v>
      </c>
      <c r="I106" s="3">
        <f t="array" ref="I106">MMULT(B106:E106,TRANSPOSE($P$3:$S$3))</f>
        <v>0.12149999980286422</v>
      </c>
    </row>
    <row r="107" spans="1:9" x14ac:dyDescent="0.2">
      <c r="A107" s="3" t="s">
        <v>110</v>
      </c>
      <c r="B107" s="3">
        <v>0.41276377305186668</v>
      </c>
      <c r="C107" s="3">
        <v>0.46558177736878814</v>
      </c>
      <c r="D107" s="3">
        <v>1.2897505634866803E-2</v>
      </c>
      <c r="E107" s="3">
        <v>0.10875694394447859</v>
      </c>
      <c r="F107" s="3">
        <f t="shared" si="2"/>
        <v>1.0000000000000002</v>
      </c>
      <c r="G107" s="4">
        <f t="shared" ref="G107:G108" si="4">G106+0.0007</f>
        <v>0.12220000000000052</v>
      </c>
      <c r="H107" s="3">
        <f t="array" ref="H107">SQRT(MMULT(B107:E107,MMULT($B$3:$E$6,TRANSPOSE(B107:E107))))</f>
        <v>0.12571687683826446</v>
      </c>
      <c r="I107" s="3">
        <f t="array" ref="I107">MMULT(B107:E107,TRANSPOSE($P$3:$S$3))</f>
        <v>0.12220000979475662</v>
      </c>
    </row>
    <row r="108" spans="1:9" x14ac:dyDescent="0.2">
      <c r="A108" s="3" t="s">
        <v>111</v>
      </c>
      <c r="B108" s="3">
        <v>0.42049488524900402</v>
      </c>
      <c r="C108" s="3">
        <v>0.46857291927109301</v>
      </c>
      <c r="D108" s="3">
        <v>4.4748562214121778E-3</v>
      </c>
      <c r="E108" s="3">
        <v>0.10645733925849074</v>
      </c>
      <c r="F108" s="3">
        <f t="shared" si="2"/>
        <v>1</v>
      </c>
      <c r="G108" s="4">
        <f t="shared" si="4"/>
        <v>0.12290000000000052</v>
      </c>
      <c r="H108" s="3">
        <f t="array" ref="H108">SQRT(MMULT(B108:E108,MMULT($B$3:$E$6,TRANSPOSE(B108:E108))))</f>
        <v>0.12679799879625087</v>
      </c>
      <c r="I108" s="3">
        <f t="array" ref="I108">MMULT(B108:E108,TRANSPOSE($P$3:$S$3))</f>
        <v>0.12290000978664865</v>
      </c>
    </row>
    <row r="109" spans="1:9" x14ac:dyDescent="0.2">
      <c r="A109" s="3" t="s">
        <v>112</v>
      </c>
      <c r="B109" s="3">
        <v>0.43238821611406253</v>
      </c>
      <c r="C109" s="3">
        <v>0.4720275916752843</v>
      </c>
      <c r="D109" s="3">
        <v>0</v>
      </c>
      <c r="E109" s="3">
        <v>9.5584192210653299E-2</v>
      </c>
      <c r="F109" s="3">
        <f t="shared" si="2"/>
        <v>1.0000000000000002</v>
      </c>
      <c r="G109" s="4">
        <f>G108+0.0007</f>
        <v>0.12360000000000053</v>
      </c>
      <c r="H109" s="3">
        <f t="array" ref="H109">SQRT(MMULT(B109:E109,MMULT($B$3:$E$6,TRANSPOSE(B109:E109))))</f>
        <v>0.12789104121166767</v>
      </c>
      <c r="I109" s="3">
        <f t="array" ref="I109">MMULT(B109:E109,TRANSPOSE($P$3:$S$3))</f>
        <v>0.12360000979591566</v>
      </c>
    </row>
    <row r="110" spans="1:9" x14ac:dyDescent="0.2">
      <c r="A110" s="3" t="s">
        <v>113</v>
      </c>
      <c r="B110" s="3">
        <v>0.44899954356641952</v>
      </c>
      <c r="C110" s="3">
        <v>0.47600757601431343</v>
      </c>
      <c r="D110" s="3">
        <v>0</v>
      </c>
      <c r="E110" s="3">
        <v>7.4992880419267147E-2</v>
      </c>
      <c r="F110" s="3">
        <f t="shared" si="2"/>
        <v>1.0000000000000002</v>
      </c>
      <c r="G110" s="4">
        <f t="shared" ref="G110" si="5">G109+0.0007</f>
        <v>0.12430000000000054</v>
      </c>
      <c r="H110" s="3">
        <f t="array" ref="H110">SQRT(MMULT(B110:E110,MMULT($B$3:$E$6,TRANSPOSE(B110:E110))))</f>
        <v>0.12902454971013608</v>
      </c>
      <c r="I110" s="3">
        <f t="array" ref="I110">MMULT(B110:E110,TRANSPOSE($P$3:$S$3))</f>
        <v>0.12430000979005122</v>
      </c>
    </row>
  </sheetData>
  <mergeCells count="6">
    <mergeCell ref="I4:M4"/>
    <mergeCell ref="I5:M5"/>
    <mergeCell ref="I6:M6"/>
    <mergeCell ref="A9:I9"/>
    <mergeCell ref="A1:E1"/>
    <mergeCell ref="H1:M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110"/>
  <sheetViews>
    <sheetView workbookViewId="0">
      <selection activeCell="N30" sqref="N30"/>
    </sheetView>
  </sheetViews>
  <sheetFormatPr baseColWidth="10" defaultRowHeight="16" x14ac:dyDescent="0.2"/>
  <cols>
    <col min="1" max="1" width="13.6640625" style="2" bestFit="1" customWidth="1"/>
    <col min="2" max="2" width="13.5" style="2" bestFit="1" customWidth="1"/>
    <col min="3" max="3" width="13.6640625" style="2" bestFit="1" customWidth="1"/>
    <col min="4" max="5" width="13.5" style="2" bestFit="1" customWidth="1"/>
    <col min="6" max="6" width="10.83203125" style="2"/>
    <col min="7" max="7" width="15.5" style="2" bestFit="1" customWidth="1"/>
    <col min="8" max="9" width="17.33203125" style="2" bestFit="1" customWidth="1"/>
    <col min="10" max="10" width="13.6640625" style="2" bestFit="1" customWidth="1"/>
    <col min="11" max="11" width="12.5" style="2" bestFit="1" customWidth="1"/>
    <col min="12" max="12" width="12.5" style="2" customWidth="1"/>
    <col min="13" max="16384" width="10.83203125" style="2"/>
  </cols>
  <sheetData>
    <row r="1" spans="1:19" x14ac:dyDescent="0.2">
      <c r="A1" s="20" t="s">
        <v>122</v>
      </c>
      <c r="B1" s="20"/>
      <c r="C1" s="20"/>
      <c r="D1" s="20"/>
      <c r="E1" s="20"/>
      <c r="H1" s="21" t="s">
        <v>124</v>
      </c>
      <c r="I1" s="22"/>
      <c r="J1" s="22"/>
      <c r="K1" s="22"/>
      <c r="L1" s="22"/>
      <c r="M1" s="23"/>
    </row>
    <row r="2" spans="1:19" x14ac:dyDescent="0.2">
      <c r="A2" s="3" t="s">
        <v>123</v>
      </c>
      <c r="B2" s="3" t="s">
        <v>3</v>
      </c>
      <c r="C2" s="3" t="s">
        <v>4</v>
      </c>
      <c r="D2" s="3" t="s">
        <v>5</v>
      </c>
      <c r="E2" s="3" t="s">
        <v>140</v>
      </c>
      <c r="H2" s="3" t="s">
        <v>125</v>
      </c>
      <c r="I2" s="3" t="s">
        <v>3</v>
      </c>
      <c r="J2" s="3" t="s">
        <v>4</v>
      </c>
      <c r="K2" s="3" t="s">
        <v>5</v>
      </c>
      <c r="L2" s="3" t="s">
        <v>7</v>
      </c>
      <c r="M2" s="3" t="s">
        <v>13</v>
      </c>
      <c r="O2" s="4" t="s">
        <v>0</v>
      </c>
      <c r="P2" s="4" t="s">
        <v>3</v>
      </c>
      <c r="Q2" s="4" t="s">
        <v>4</v>
      </c>
      <c r="R2" s="4" t="s">
        <v>5</v>
      </c>
      <c r="S2" s="4" t="s">
        <v>7</v>
      </c>
    </row>
    <row r="3" spans="1:19" x14ac:dyDescent="0.2">
      <c r="A3" s="3" t="s">
        <v>3</v>
      </c>
      <c r="B3" s="3">
        <v>2.3134410000000005E-2</v>
      </c>
      <c r="C3" s="3">
        <v>1.3617208800000002E-2</v>
      </c>
      <c r="D3" s="3">
        <v>4.2207750000000004E-3</v>
      </c>
      <c r="E3" s="3">
        <v>-5.6064060000000004E-4</v>
      </c>
      <c r="H3" s="3" t="s">
        <v>126</v>
      </c>
      <c r="I3" s="3">
        <v>0.29989157724117099</v>
      </c>
      <c r="J3" s="3">
        <v>0.33139421204339348</v>
      </c>
      <c r="K3" s="3">
        <v>0.11703601909960273</v>
      </c>
      <c r="L3" s="3">
        <v>0.25167819161583271</v>
      </c>
      <c r="M3" s="3">
        <f>SUM(I3:L3)</f>
        <v>0.99999999999999989</v>
      </c>
      <c r="O3" s="4" t="s">
        <v>1</v>
      </c>
      <c r="P3" s="4">
        <v>0.12939999999999999</v>
      </c>
      <c r="Q3" s="4">
        <v>0.1242</v>
      </c>
      <c r="R3" s="4">
        <v>5.3999999999999999E-2</v>
      </c>
      <c r="S3" s="4">
        <v>0.10050000000000001</v>
      </c>
    </row>
    <row r="4" spans="1:19" x14ac:dyDescent="0.2">
      <c r="A4" s="3" t="s">
        <v>4</v>
      </c>
      <c r="B4" s="3">
        <v>1.3617208800000001E-2</v>
      </c>
      <c r="C4" s="3">
        <v>2.0851359999999999E-2</v>
      </c>
      <c r="D4" s="3">
        <v>9.6170399999999997E-4</v>
      </c>
      <c r="E4" s="3">
        <v>2.661292E-4</v>
      </c>
      <c r="H4" s="3" t="s">
        <v>128</v>
      </c>
      <c r="I4" s="21">
        <f t="array" ref="I4">MMULT(I3:L3,TRANSPOSE(P3:S3))</f>
        <v>0.11157873451956672</v>
      </c>
      <c r="J4" s="22"/>
      <c r="K4" s="22"/>
      <c r="L4" s="22"/>
      <c r="M4" s="23"/>
      <c r="O4" s="4" t="s">
        <v>2</v>
      </c>
      <c r="P4" s="4">
        <v>0.15210000000000001</v>
      </c>
      <c r="Q4" s="4">
        <v>0.1444</v>
      </c>
      <c r="R4" s="4">
        <v>0.111</v>
      </c>
      <c r="S4" s="4">
        <v>0.18429999999999999</v>
      </c>
    </row>
    <row r="5" spans="1:19" x14ac:dyDescent="0.2">
      <c r="A5" s="3" t="s">
        <v>5</v>
      </c>
      <c r="B5" s="3">
        <v>4.2207750000000004E-3</v>
      </c>
      <c r="C5" s="3">
        <v>9.6170400000000007E-4</v>
      </c>
      <c r="D5" s="3">
        <v>1.2321E-2</v>
      </c>
      <c r="E5" s="3">
        <v>-1.4320110000000002E-3</v>
      </c>
      <c r="H5" s="3" t="s">
        <v>129</v>
      </c>
      <c r="I5" s="21">
        <f t="array" ref="I5">SQRT(MMULT(I3:L3,MMULT(B3:E6,TRANSPOSE(I3:L3))))</f>
        <v>9.8202368260900508E-2</v>
      </c>
      <c r="J5" s="22"/>
      <c r="K5" s="22"/>
      <c r="L5" s="22"/>
      <c r="M5" s="23"/>
    </row>
    <row r="6" spans="1:19" x14ac:dyDescent="0.2">
      <c r="A6" s="3" t="s">
        <v>7</v>
      </c>
      <c r="B6" s="3">
        <v>-5.6064060000000004E-4</v>
      </c>
      <c r="C6" s="3">
        <v>2.661292E-4</v>
      </c>
      <c r="D6" s="3">
        <v>-1.4320110000000002E-3</v>
      </c>
      <c r="E6" s="3">
        <v>3.3966489999999995E-2</v>
      </c>
      <c r="H6" s="3" t="s">
        <v>130</v>
      </c>
      <c r="I6" s="21">
        <f>(I4-B7)/I5</f>
        <v>0.81035453552550596</v>
      </c>
      <c r="J6" s="22"/>
      <c r="K6" s="22"/>
      <c r="L6" s="22"/>
      <c r="M6" s="23"/>
    </row>
    <row r="7" spans="1:19" x14ac:dyDescent="0.2">
      <c r="A7" s="16" t="s">
        <v>127</v>
      </c>
      <c r="B7" s="16">
        <v>3.2000000000000001E-2</v>
      </c>
    </row>
    <row r="9" spans="1:19" ht="23" x14ac:dyDescent="0.2">
      <c r="A9" s="17" t="s">
        <v>114</v>
      </c>
      <c r="B9" s="17"/>
      <c r="C9" s="17"/>
      <c r="D9" s="17"/>
      <c r="E9" s="17"/>
      <c r="F9" s="17"/>
      <c r="G9" s="17"/>
      <c r="H9" s="17"/>
      <c r="I9" s="17"/>
      <c r="J9" s="6"/>
    </row>
    <row r="10" spans="1:19" x14ac:dyDescent="0.2">
      <c r="A10" s="4"/>
      <c r="B10" s="4" t="s">
        <v>3</v>
      </c>
      <c r="C10" s="4" t="s">
        <v>4</v>
      </c>
      <c r="D10" s="4" t="s">
        <v>5</v>
      </c>
      <c r="E10" s="4" t="s">
        <v>7</v>
      </c>
      <c r="F10" s="7" t="s">
        <v>13</v>
      </c>
      <c r="G10" s="3" t="s">
        <v>8</v>
      </c>
      <c r="H10" s="3" t="s">
        <v>9</v>
      </c>
      <c r="I10" s="3" t="s">
        <v>115</v>
      </c>
    </row>
    <row r="11" spans="1:19" x14ac:dyDescent="0.2">
      <c r="A11" s="3" t="s">
        <v>15</v>
      </c>
      <c r="B11" s="3">
        <v>0</v>
      </c>
      <c r="C11" s="3">
        <v>0</v>
      </c>
      <c r="D11" s="3">
        <v>0.97849446827969966</v>
      </c>
      <c r="E11" s="3">
        <v>2.1505781720300432E-2</v>
      </c>
      <c r="F11" s="3">
        <f>SUM(B11:E11)</f>
        <v>1.00000025</v>
      </c>
      <c r="G11" s="4">
        <v>5.5E-2</v>
      </c>
      <c r="H11" s="3">
        <f t="array" ref="H11">SQRT(MMULT(B11:E11,MMULT($B$3:$E$6,TRANSPOSE(B11:E11))))</f>
        <v>0.1084075643823257</v>
      </c>
      <c r="I11" s="3">
        <f t="array" ref="I11">MMULT(B11:E11,TRANSPOSE($P$3:$S$3))</f>
        <v>5.5000032349993976E-2</v>
      </c>
    </row>
    <row r="12" spans="1:19" x14ac:dyDescent="0.2">
      <c r="A12" s="3" t="s">
        <v>132</v>
      </c>
      <c r="B12" s="3">
        <v>0</v>
      </c>
      <c r="C12" s="3">
        <v>0</v>
      </c>
      <c r="D12" s="3">
        <v>0.96344070483883926</v>
      </c>
      <c r="E12" s="3">
        <v>3.6559545161160778E-2</v>
      </c>
      <c r="F12" s="3">
        <f t="shared" ref="F12:F75" si="0">SUM(B12:E12)</f>
        <v>1.00000025</v>
      </c>
      <c r="G12" s="4">
        <f>G11+0.0007</f>
        <v>5.57E-2</v>
      </c>
      <c r="H12" s="3">
        <f t="array" ref="H12">SQRT(MMULT(B12:E12,MMULT($B$3:$E$6,TRANSPOSE(B12:E12))))</f>
        <v>0.10668221118515593</v>
      </c>
      <c r="I12" s="3">
        <f t="array" ref="I12">MMULT(B12:E12,TRANSPOSE($P$3:$S$3))</f>
        <v>5.5700032349993975E-2</v>
      </c>
    </row>
    <row r="13" spans="1:19" x14ac:dyDescent="0.2">
      <c r="A13" s="3" t="s">
        <v>16</v>
      </c>
      <c r="B13" s="3">
        <v>0</v>
      </c>
      <c r="C13" s="3">
        <v>0</v>
      </c>
      <c r="D13" s="3">
        <v>0.94838694139797897</v>
      </c>
      <c r="E13" s="3">
        <v>5.1613308602021069E-2</v>
      </c>
      <c r="F13" s="3">
        <f t="shared" si="0"/>
        <v>1.00000025</v>
      </c>
      <c r="G13" s="4">
        <f t="shared" ref="G13:G76" si="1">G12+0.0007</f>
        <v>5.6399999999999999E-2</v>
      </c>
      <c r="H13" s="3">
        <f t="array" ref="H13">SQRT(MMULT(B13:E13,MMULT($B$3:$E$6,TRANSPOSE(B13:E13))))</f>
        <v>0.10503459129834554</v>
      </c>
      <c r="I13" s="3">
        <f t="array" ref="I13">MMULT(B13:E13,TRANSPOSE($P$3:$S$3))</f>
        <v>5.6400032349993981E-2</v>
      </c>
    </row>
    <row r="14" spans="1:19" x14ac:dyDescent="0.2">
      <c r="A14" s="3" t="s">
        <v>17</v>
      </c>
      <c r="B14" s="3">
        <v>-2.4999999999331113E-7</v>
      </c>
      <c r="C14" s="3">
        <v>0</v>
      </c>
      <c r="D14" s="3">
        <v>0.93333317795711923</v>
      </c>
      <c r="E14" s="3">
        <v>6.666707204288097E-2</v>
      </c>
      <c r="F14" s="3">
        <f t="shared" si="0"/>
        <v>1.0000000000000002</v>
      </c>
      <c r="G14" s="4">
        <f t="shared" si="1"/>
        <v>5.7099999999999998E-2</v>
      </c>
      <c r="H14" s="3">
        <f t="array" ref="H14">SQRT(MMULT(B14:E14,MMULT($B$3:$E$6,TRANSPOSE(B14:E14))))</f>
        <v>0.10346840881095944</v>
      </c>
      <c r="I14" s="3">
        <f t="array" ref="I14">MMULT(B14:E14,TRANSPOSE($P$3:$S$3))</f>
        <v>5.7099999999993982E-2</v>
      </c>
    </row>
    <row r="15" spans="1:19" x14ac:dyDescent="0.2">
      <c r="A15" s="3" t="s">
        <v>18</v>
      </c>
      <c r="B15" s="3">
        <v>-2.4999999999331113E-7</v>
      </c>
      <c r="C15" s="3">
        <v>0</v>
      </c>
      <c r="D15" s="3">
        <v>0.91827941451625861</v>
      </c>
      <c r="E15" s="3">
        <v>8.1720835483741427E-2</v>
      </c>
      <c r="F15" s="3">
        <f t="shared" si="0"/>
        <v>1</v>
      </c>
      <c r="G15" s="4">
        <f t="shared" si="1"/>
        <v>5.7799999999999997E-2</v>
      </c>
      <c r="H15" s="3">
        <f t="array" ref="H15">SQRT(MMULT(B15:E15,MMULT($B$3:$E$6,TRANSPOSE(B15:E15))))</f>
        <v>0.10198743490909823</v>
      </c>
      <c r="I15" s="3">
        <f t="array" ref="I15">MMULT(B15:E15,TRANSPOSE($P$3:$S$3))</f>
        <v>5.7799999999993981E-2</v>
      </c>
    </row>
    <row r="16" spans="1:19" x14ac:dyDescent="0.2">
      <c r="A16" s="3" t="s">
        <v>19</v>
      </c>
      <c r="B16" s="3">
        <v>-2.4999999999331113E-7</v>
      </c>
      <c r="C16" s="3">
        <v>0</v>
      </c>
      <c r="D16" s="3">
        <v>0.90322565107539854</v>
      </c>
      <c r="E16" s="3">
        <v>9.6774598924601551E-2</v>
      </c>
      <c r="F16" s="3">
        <f t="shared" si="0"/>
        <v>1</v>
      </c>
      <c r="G16" s="4">
        <f t="shared" si="1"/>
        <v>5.8499999999999996E-2</v>
      </c>
      <c r="H16" s="3">
        <f t="array" ref="H16">SQRT(MMULT(B16:E16,MMULT($B$3:$E$6,TRANSPOSE(B16:E16))))</f>
        <v>0.10059542312955114</v>
      </c>
      <c r="I16" s="3">
        <f t="array" ref="I16">MMULT(B16:E16,TRANSPOSE($P$3:$S$3))</f>
        <v>5.8499999999993973E-2</v>
      </c>
    </row>
    <row r="17" spans="1:9" x14ac:dyDescent="0.2">
      <c r="A17" s="3" t="s">
        <v>20</v>
      </c>
      <c r="B17" s="3">
        <v>-2.4999999999331113E-7</v>
      </c>
      <c r="C17" s="3">
        <v>0</v>
      </c>
      <c r="D17" s="3">
        <v>0.88817188763453847</v>
      </c>
      <c r="E17" s="3">
        <v>0.11182836236546168</v>
      </c>
      <c r="F17" s="3">
        <f t="shared" si="0"/>
        <v>1</v>
      </c>
      <c r="G17" s="4">
        <f t="shared" si="1"/>
        <v>5.9199999999999996E-2</v>
      </c>
      <c r="H17" s="3">
        <f t="array" ref="H17">SQRT(MMULT(B17:E17,MMULT($B$3:$E$6,TRANSPOSE(B17:E17))))</f>
        <v>9.9296114967804591E-2</v>
      </c>
      <c r="I17" s="3">
        <f t="array" ref="I17">MMULT(B17:E17,TRANSPOSE($P$3:$S$3))</f>
        <v>5.919999999999398E-2</v>
      </c>
    </row>
    <row r="18" spans="1:9" x14ac:dyDescent="0.2">
      <c r="A18" s="3" t="s">
        <v>21</v>
      </c>
      <c r="B18" s="3">
        <v>-2.4999999999331113E-7</v>
      </c>
      <c r="C18" s="3">
        <v>0</v>
      </c>
      <c r="D18" s="3">
        <v>0.87311812419367829</v>
      </c>
      <c r="E18" s="3">
        <v>0.12688212580632191</v>
      </c>
      <c r="F18" s="3">
        <f t="shared" si="0"/>
        <v>1.0000000000000002</v>
      </c>
      <c r="G18" s="4">
        <f t="shared" si="1"/>
        <v>5.9899999999999995E-2</v>
      </c>
      <c r="H18" s="3">
        <f t="array" ref="H18">SQRT(MMULT(B18:E18,MMULT($B$3:$E$6,TRANSPOSE(B18:E18))))</f>
        <v>9.809319425217862E-2</v>
      </c>
      <c r="I18" s="3">
        <f t="array" ref="I18">MMULT(B18:E18,TRANSPOSE($P$3:$S$3))</f>
        <v>5.9899999999993979E-2</v>
      </c>
    </row>
    <row r="19" spans="1:9" x14ac:dyDescent="0.2">
      <c r="A19" s="3" t="s">
        <v>22</v>
      </c>
      <c r="B19" s="3">
        <v>-2.4999999999331113E-7</v>
      </c>
      <c r="C19" s="3">
        <v>0</v>
      </c>
      <c r="D19" s="3">
        <v>0.858064360752818</v>
      </c>
      <c r="E19" s="3">
        <v>0.14193588924718212</v>
      </c>
      <c r="F19" s="3">
        <f t="shared" si="0"/>
        <v>1</v>
      </c>
      <c r="G19" s="4">
        <f t="shared" si="1"/>
        <v>6.0599999999999994E-2</v>
      </c>
      <c r="H19" s="3">
        <f t="array" ref="H19">SQRT(MMULT(B19:E19,MMULT($B$3:$E$6,TRANSPOSE(B19:E19))))</f>
        <v>9.6990247382414602E-2</v>
      </c>
      <c r="I19" s="3">
        <f t="array" ref="I19">MMULT(B19:E19,TRANSPOSE($P$3:$S$3))</f>
        <v>6.0599999999993978E-2</v>
      </c>
    </row>
    <row r="20" spans="1:9" x14ac:dyDescent="0.2">
      <c r="A20" s="3" t="s">
        <v>23</v>
      </c>
      <c r="B20" s="3">
        <v>-2.4999999999331113E-7</v>
      </c>
      <c r="C20" s="3">
        <v>1.8864475415021514E-3</v>
      </c>
      <c r="D20" s="3">
        <v>0.84397207690410225</v>
      </c>
      <c r="E20" s="3">
        <v>0.15414172555439565</v>
      </c>
      <c r="F20" s="3">
        <f t="shared" si="0"/>
        <v>1</v>
      </c>
      <c r="G20" s="4">
        <f t="shared" si="1"/>
        <v>6.1299999999999993E-2</v>
      </c>
      <c r="H20" s="3">
        <f t="array" ref="H20">SQRT(MMULT(B20:E20,MMULT($B$3:$E$6,TRANSPOSE(B20:E20))))</f>
        <v>9.5988795645817721E-2</v>
      </c>
      <c r="I20" s="3">
        <f t="array" ref="I20">MMULT(B20:E20,TRANSPOSE($P$3:$S$3))</f>
        <v>6.1300000005692849E-2</v>
      </c>
    </row>
    <row r="21" spans="1:9" x14ac:dyDescent="0.2">
      <c r="A21" s="3" t="s">
        <v>24</v>
      </c>
      <c r="B21" s="3">
        <v>-2.4999999999331113E-7</v>
      </c>
      <c r="C21" s="3">
        <v>1.0750178106804247E-2</v>
      </c>
      <c r="D21" s="3">
        <v>0.83343595620777189</v>
      </c>
      <c r="E21" s="3">
        <v>0.15581411568542392</v>
      </c>
      <c r="F21" s="3">
        <f t="shared" si="0"/>
        <v>1</v>
      </c>
      <c r="G21" s="4">
        <f t="shared" si="1"/>
        <v>6.1999999999999993E-2</v>
      </c>
      <c r="H21" s="3">
        <f t="array" ref="H21">SQRT(MMULT(B21:E21,MMULT($B$3:$E$6,TRANSPOSE(B21:E21))))</f>
        <v>9.5034754965785409E-2</v>
      </c>
      <c r="I21" s="3">
        <f t="array" ref="I21">MMULT(B21:E21,TRANSPOSE($P$3:$S$3))</f>
        <v>6.2000000032469874E-2</v>
      </c>
    </row>
    <row r="22" spans="1:9" x14ac:dyDescent="0.2">
      <c r="A22" s="3" t="s">
        <v>25</v>
      </c>
      <c r="B22" s="3">
        <v>-2.4999999999331113E-7</v>
      </c>
      <c r="C22" s="3">
        <v>1.9613939952441345E-2</v>
      </c>
      <c r="D22" s="3">
        <v>0.82289985145431921</v>
      </c>
      <c r="E22" s="3">
        <v>0.15748645859323937</v>
      </c>
      <c r="F22" s="3">
        <f t="shared" si="0"/>
        <v>1</v>
      </c>
      <c r="G22" s="4">
        <f t="shared" si="1"/>
        <v>6.2699999999999992E-2</v>
      </c>
      <c r="H22" s="3">
        <f t="array" ref="H22">SQRT(MMULT(B22:E22,MMULT($B$3:$E$6,TRANSPOSE(B22:E22))))</f>
        <v>9.4102708687656161E-2</v>
      </c>
      <c r="I22" s="3">
        <f t="array" ref="I22">MMULT(B22:E22,TRANSPOSE($P$3:$S$3))</f>
        <v>6.2700000059247016E-2</v>
      </c>
    </row>
    <row r="23" spans="1:9" x14ac:dyDescent="0.2">
      <c r="A23" s="3" t="s">
        <v>26</v>
      </c>
      <c r="B23" s="3">
        <v>0</v>
      </c>
      <c r="C23" s="3">
        <v>2.8477450721866301E-2</v>
      </c>
      <c r="D23" s="3">
        <v>0.8123637741093519</v>
      </c>
      <c r="E23" s="3">
        <v>0.15915877516878185</v>
      </c>
      <c r="F23" s="3">
        <f t="shared" si="0"/>
        <v>1</v>
      </c>
      <c r="G23" s="4">
        <f t="shared" si="1"/>
        <v>6.3399999999999998E-2</v>
      </c>
      <c r="H23" s="3">
        <f t="array" ref="H23">SQRT(MMULT(B23:E23,MMULT($B$3:$E$6,TRANSPOSE(B23:E23))))</f>
        <v>9.3193324589996393E-2</v>
      </c>
      <c r="I23" s="3">
        <f t="array" ref="I23">MMULT(B23:E23,TRANSPOSE($P$3:$S$3))</f>
        <v>6.3400000086023381E-2</v>
      </c>
    </row>
    <row r="24" spans="1:9" x14ac:dyDescent="0.2">
      <c r="A24" s="3" t="s">
        <v>27</v>
      </c>
      <c r="B24" s="3">
        <v>0</v>
      </c>
      <c r="C24" s="3">
        <v>3.7341207566326057E-2</v>
      </c>
      <c r="D24" s="3">
        <v>0.80182766680691286</v>
      </c>
      <c r="E24" s="3">
        <v>0.16083112562676116</v>
      </c>
      <c r="F24" s="3">
        <f t="shared" si="0"/>
        <v>1</v>
      </c>
      <c r="G24" s="4">
        <f t="shared" si="1"/>
        <v>6.4100000000000004E-2</v>
      </c>
      <c r="H24" s="3">
        <f t="array" ref="H24">SQRT(MMULT(B24:E24,MMULT($B$3:$E$6,TRANSPOSE(B24:E24))))</f>
        <v>9.2307256249138089E-2</v>
      </c>
      <c r="I24" s="3">
        <f t="array" ref="I24">MMULT(B24:E24,TRANSPOSE($P$3:$S$3))</f>
        <v>6.4100000112800481E-2</v>
      </c>
    </row>
    <row r="25" spans="1:9" x14ac:dyDescent="0.2">
      <c r="A25" s="3" t="s">
        <v>28</v>
      </c>
      <c r="B25" s="3">
        <v>0</v>
      </c>
      <c r="C25" s="3">
        <v>4.620496937443367E-2</v>
      </c>
      <c r="D25" s="3">
        <v>0.79129156203433337</v>
      </c>
      <c r="E25" s="3">
        <v>0.16250346859123321</v>
      </c>
      <c r="F25" s="3">
        <f t="shared" si="0"/>
        <v>1.0000000000000002</v>
      </c>
      <c r="G25" s="4">
        <f t="shared" si="1"/>
        <v>6.480000000000001E-2</v>
      </c>
      <c r="H25" s="3">
        <f t="array" ref="H25">SQRT(MMULT(B25:E25,MMULT($B$3:$E$6,TRANSPOSE(B25:E25))))</f>
        <v>9.144518977740855E-2</v>
      </c>
      <c r="I25" s="3">
        <f t="array" ref="I25">MMULT(B25:E25,TRANSPOSE($P$3:$S$3))</f>
        <v>6.4800000139577596E-2</v>
      </c>
    </row>
    <row r="26" spans="1:9" x14ac:dyDescent="0.2">
      <c r="A26" s="3" t="s">
        <v>29</v>
      </c>
      <c r="B26" s="3">
        <v>0</v>
      </c>
      <c r="C26" s="3">
        <v>5.5068731279875931E-2</v>
      </c>
      <c r="D26" s="3">
        <v>0.78075545731136253</v>
      </c>
      <c r="E26" s="3">
        <v>0.16417581140876158</v>
      </c>
      <c r="F26" s="3">
        <f t="shared" si="0"/>
        <v>1</v>
      </c>
      <c r="G26" s="4">
        <f t="shared" si="1"/>
        <v>6.5500000000000017E-2</v>
      </c>
      <c r="H26" s="3">
        <f t="array" ref="H26">SQRT(MMULT(B26:E26,MMULT($B$3:$E$6,TRANSPOSE(B26:E26))))</f>
        <v>9.0607810257632149E-2</v>
      </c>
      <c r="I26" s="3">
        <f t="array" ref="I26">MMULT(B26:E26,TRANSPOSE($P$3:$S$3))</f>
        <v>6.550000016635471E-2</v>
      </c>
    </row>
    <row r="27" spans="1:9" x14ac:dyDescent="0.2">
      <c r="A27" s="3" t="s">
        <v>30</v>
      </c>
      <c r="B27" s="3">
        <v>0</v>
      </c>
      <c r="C27" s="3">
        <v>6.3932513735316499E-2</v>
      </c>
      <c r="D27" s="3">
        <v>0.77021936306226102</v>
      </c>
      <c r="E27" s="3">
        <v>0.16584812320242265</v>
      </c>
      <c r="F27" s="3">
        <f t="shared" si="0"/>
        <v>1.0000000000000002</v>
      </c>
      <c r="G27" s="4">
        <f t="shared" si="1"/>
        <v>6.6200000000000023E-2</v>
      </c>
      <c r="H27" s="3">
        <f t="array" ref="H27">SQRT(MMULT(B27:E27,MMULT($B$3:$E$6,TRANSPOSE(B27:E27))))</f>
        <v>8.9795808337664207E-2</v>
      </c>
      <c r="I27" s="3">
        <f t="array" ref="I27">MMULT(B27:E27,TRANSPOSE($P$3:$S$3))</f>
        <v>6.620000019313188E-2</v>
      </c>
    </row>
    <row r="28" spans="1:9" x14ac:dyDescent="0.2">
      <c r="A28" s="3" t="s">
        <v>31</v>
      </c>
      <c r="B28" s="3">
        <v>0</v>
      </c>
      <c r="C28" s="3">
        <v>7.2795003755937795E-2</v>
      </c>
      <c r="D28" s="3">
        <v>0.75968480417429141</v>
      </c>
      <c r="E28" s="3">
        <v>0.16752019206977098</v>
      </c>
      <c r="F28" s="3">
        <f t="shared" si="0"/>
        <v>1.0000000000000002</v>
      </c>
      <c r="G28" s="4">
        <f t="shared" si="1"/>
        <v>6.6900000000000029E-2</v>
      </c>
      <c r="H28" s="3">
        <f t="array" ref="H28">SQRT(MMULT(B28:E28,MMULT($B$3:$E$6,TRANSPOSE(B28:E28))))</f>
        <v>8.9009991165340738E-2</v>
      </c>
      <c r="I28" s="3">
        <f t="array" ref="I28">MMULT(B28:E28,TRANSPOSE($P$3:$S$3))</f>
        <v>6.6899898194911198E-2</v>
      </c>
    </row>
    <row r="29" spans="1:9" x14ac:dyDescent="0.2">
      <c r="A29" s="3" t="s">
        <v>32</v>
      </c>
      <c r="B29" s="3">
        <v>0</v>
      </c>
      <c r="C29" s="3">
        <v>8.1660051681550758E-2</v>
      </c>
      <c r="D29" s="3">
        <v>0.74914716082078725</v>
      </c>
      <c r="E29" s="3">
        <v>0.16919278749766209</v>
      </c>
      <c r="F29" s="3">
        <f t="shared" si="0"/>
        <v>1</v>
      </c>
      <c r="G29" s="4">
        <f t="shared" si="1"/>
        <v>6.7600000000000035E-2</v>
      </c>
      <c r="H29" s="3">
        <f t="array" ref="H29">SQRT(MMULT(B29:E29,MMULT($B$3:$E$6,TRANSPOSE(B29:E29))))</f>
        <v>8.8250717463945819E-2</v>
      </c>
      <c r="I29" s="3">
        <f t="array" ref="I29">MMULT(B29:E29,TRANSPOSE($P$3:$S$3))</f>
        <v>6.7600000246686165E-2</v>
      </c>
    </row>
    <row r="30" spans="1:9" x14ac:dyDescent="0.2">
      <c r="A30" s="3" t="s">
        <v>33</v>
      </c>
      <c r="B30" s="3">
        <v>0</v>
      </c>
      <c r="C30" s="3">
        <v>9.0523824429721594E-2</v>
      </c>
      <c r="D30" s="3">
        <v>0.73861106162410961</v>
      </c>
      <c r="E30" s="3">
        <v>0.17086511394616888</v>
      </c>
      <c r="F30" s="3">
        <f t="shared" si="0"/>
        <v>1</v>
      </c>
      <c r="G30" s="4">
        <f t="shared" si="1"/>
        <v>6.8300000000000041E-2</v>
      </c>
      <c r="H30" s="3">
        <f t="array" ref="H30">SQRT(MMULT(B30:E30,MMULT($B$3:$E$6,TRANSPOSE(B30:E30))))</f>
        <v>8.7519021677898504E-2</v>
      </c>
      <c r="I30" s="3">
        <f t="array" ref="I30">MMULT(B30:E30,TRANSPOSE($P$3:$S$3))</f>
        <v>6.8300000273463307E-2</v>
      </c>
    </row>
    <row r="31" spans="1:9" x14ac:dyDescent="0.2">
      <c r="A31" s="3" t="s">
        <v>34</v>
      </c>
      <c r="B31" s="3">
        <v>0</v>
      </c>
      <c r="C31" s="3">
        <v>9.9387587175563161E-2</v>
      </c>
      <c r="D31" s="3">
        <v>0.72807495732947158</v>
      </c>
      <c r="E31" s="3">
        <v>0.17253745549496535</v>
      </c>
      <c r="F31" s="3">
        <f t="shared" si="0"/>
        <v>1</v>
      </c>
      <c r="G31" s="4">
        <f t="shared" si="1"/>
        <v>6.9000000000000047E-2</v>
      </c>
      <c r="H31" s="3">
        <f t="array" ref="H31">SQRT(MMULT(B31:E31,MMULT($B$3:$E$6,TRANSPOSE(B31:E31))))</f>
        <v>8.6815485641020623E-2</v>
      </c>
      <c r="I31" s="3">
        <f t="array" ref="I31">MMULT(B31:E31,TRANSPOSE($P$3:$S$3))</f>
        <v>6.9000000300240422E-2</v>
      </c>
    </row>
    <row r="32" spans="1:9" x14ac:dyDescent="0.2">
      <c r="A32" s="3" t="s">
        <v>35</v>
      </c>
      <c r="B32" s="3">
        <v>0</v>
      </c>
      <c r="C32" s="3">
        <v>0.10825135016036844</v>
      </c>
      <c r="D32" s="3">
        <v>0.71753885315662602</v>
      </c>
      <c r="E32" s="3">
        <v>0.1742097966830056</v>
      </c>
      <c r="F32" s="3">
        <f t="shared" si="0"/>
        <v>1</v>
      </c>
      <c r="G32" s="4">
        <f t="shared" si="1"/>
        <v>6.9700000000000054E-2</v>
      </c>
      <c r="H32" s="3">
        <f t="array" ref="H32">SQRT(MMULT(B32:E32,MMULT($B$3:$E$6,TRANSPOSE(B32:E32))))</f>
        <v>8.6140799321753628E-2</v>
      </c>
      <c r="I32" s="3">
        <f t="array" ref="I32">MMULT(B32:E32,TRANSPOSE($P$3:$S$3))</f>
        <v>6.9700000327017633E-2</v>
      </c>
    </row>
    <row r="33" spans="1:9" x14ac:dyDescent="0.2">
      <c r="A33" s="3" t="s">
        <v>36</v>
      </c>
      <c r="B33" s="3">
        <v>0</v>
      </c>
      <c r="C33" s="3">
        <v>0.11711510131188192</v>
      </c>
      <c r="D33" s="3">
        <v>0.707002742952621</v>
      </c>
      <c r="E33" s="3">
        <v>0.17588215573549706</v>
      </c>
      <c r="F33" s="3">
        <f t="shared" si="0"/>
        <v>1</v>
      </c>
      <c r="G33" s="4">
        <f t="shared" si="1"/>
        <v>7.040000000000006E-2</v>
      </c>
      <c r="H33" s="3">
        <f t="array" ref="H33">SQRT(MMULT(B33:E33,MMULT($B$3:$E$6,TRANSPOSE(B33:E33))))</f>
        <v>8.5495645722864153E-2</v>
      </c>
      <c r="I33" s="3">
        <f t="array" ref="I33">MMULT(B33:E33,TRANSPOSE($P$3:$S$3))</f>
        <v>7.0400000353794734E-2</v>
      </c>
    </row>
    <row r="34" spans="1:9" x14ac:dyDescent="0.2">
      <c r="A34" s="3" t="s">
        <v>37</v>
      </c>
      <c r="B34" s="3">
        <v>0</v>
      </c>
      <c r="C34" s="3">
        <v>0.12597883117210806</v>
      </c>
      <c r="D34" s="3">
        <v>0.69646662189692987</v>
      </c>
      <c r="E34" s="3">
        <v>0.17755454693096254</v>
      </c>
      <c r="F34" s="3">
        <f t="shared" si="0"/>
        <v>1.0000000000000004</v>
      </c>
      <c r="G34" s="4">
        <f t="shared" si="1"/>
        <v>7.1100000000000066E-2</v>
      </c>
      <c r="H34" s="3">
        <f t="array" ref="H34">SQRT(MMULT(B34:E34,MMULT($B$3:$E$6,TRANSPOSE(B34:E34))))</f>
        <v>8.4880698255981213E-2</v>
      </c>
      <c r="I34" s="3">
        <f t="array" ref="I34">MMULT(B34:E34,TRANSPOSE($P$3:$S$3))</f>
        <v>7.1100000380571765E-2</v>
      </c>
    </row>
    <row r="35" spans="1:9" x14ac:dyDescent="0.2">
      <c r="A35" s="3" t="s">
        <v>38</v>
      </c>
      <c r="B35" s="3">
        <v>-2.4999999999331113E-7</v>
      </c>
      <c r="C35" s="3">
        <v>0.1348415520757397</v>
      </c>
      <c r="D35" s="3">
        <v>0.68593202534548603</v>
      </c>
      <c r="E35" s="3">
        <v>0.1792266725787742</v>
      </c>
      <c r="F35" s="3">
        <f t="shared" si="0"/>
        <v>0.99999999999999989</v>
      </c>
      <c r="G35" s="4">
        <f t="shared" si="1"/>
        <v>7.1800000000000072E-2</v>
      </c>
      <c r="H35" s="3">
        <f t="array" ref="H35">SQRT(MMULT(B35:E35,MMULT($B$3:$E$6,TRANSPOSE(B35:E35))))</f>
        <v>8.4296696486086592E-2</v>
      </c>
      <c r="I35" s="3">
        <f t="array" ref="I35">MMULT(B35:E35,TRANSPOSE($P$3:$S$3))</f>
        <v>7.1799898380629931E-2</v>
      </c>
    </row>
    <row r="36" spans="1:9" x14ac:dyDescent="0.2">
      <c r="A36" s="3" t="s">
        <v>39</v>
      </c>
      <c r="B36" s="3">
        <v>-2.4999999999331113E-7</v>
      </c>
      <c r="C36" s="3">
        <v>0.14370531346457177</v>
      </c>
      <c r="D36" s="3">
        <v>0.6753959211370778</v>
      </c>
      <c r="E36" s="3">
        <v>0.18089901539835046</v>
      </c>
      <c r="F36" s="3">
        <f t="shared" si="0"/>
        <v>1</v>
      </c>
      <c r="G36" s="4">
        <f t="shared" si="1"/>
        <v>7.2500000000000078E-2</v>
      </c>
      <c r="H36" s="3">
        <f t="array" ref="H36">SQRT(MMULT(B36:E36,MMULT($B$3:$E$6,TRANSPOSE(B36:E36))))</f>
        <v>8.3744125002952627E-2</v>
      </c>
      <c r="I36" s="3">
        <f t="array" ref="I36">MMULT(B36:E36,TRANSPOSE($P$3:$S$3))</f>
        <v>7.2499898371236243E-2</v>
      </c>
    </row>
    <row r="37" spans="1:9" x14ac:dyDescent="0.2">
      <c r="A37" s="3" t="s">
        <v>40</v>
      </c>
      <c r="B37" s="3">
        <v>-2.4999999999331113E-7</v>
      </c>
      <c r="C37" s="3">
        <v>0.15256907485388202</v>
      </c>
      <c r="D37" s="3">
        <v>0.66485981692891372</v>
      </c>
      <c r="E37" s="3">
        <v>0.18257135821720433</v>
      </c>
      <c r="F37" s="3">
        <f t="shared" si="0"/>
        <v>1</v>
      </c>
      <c r="G37" s="4">
        <f t="shared" si="1"/>
        <v>7.3200000000000084E-2</v>
      </c>
      <c r="H37" s="3">
        <f t="array" ref="H37">SQRT(MMULT(B37:E37,MMULT($B$3:$E$6,TRANSPOSE(B37:E37))))</f>
        <v>8.3223694192288963E-2</v>
      </c>
      <c r="I37" s="3">
        <f t="array" ref="I37">MMULT(B37:E37,TRANSPOSE($P$3:$S$3))</f>
        <v>7.3199898361842528E-2</v>
      </c>
    </row>
    <row r="38" spans="1:9" x14ac:dyDescent="0.2">
      <c r="A38" s="3" t="s">
        <v>41</v>
      </c>
      <c r="B38" s="3">
        <v>-2.4999999999331113E-7</v>
      </c>
      <c r="C38" s="3">
        <v>0.16143412813720745</v>
      </c>
      <c r="D38" s="3">
        <v>0.65432217708398077</v>
      </c>
      <c r="E38" s="3">
        <v>0.18424394477881165</v>
      </c>
      <c r="F38" s="3">
        <f t="shared" si="0"/>
        <v>0.99999999999999989</v>
      </c>
      <c r="G38" s="4">
        <f t="shared" si="1"/>
        <v>7.3900000000000091E-2</v>
      </c>
      <c r="H38" s="3">
        <f t="array" ref="H38">SQRT(MMULT(B38:E38,MMULT($B$3:$E$6,TRANSPOSE(B38:E38))))</f>
        <v>8.2735941911161556E-2</v>
      </c>
      <c r="I38" s="3">
        <f t="array" ref="I38">MMULT(B38:E38,TRANSPOSE($P$3:$S$3))</f>
        <v>7.3900000377446692E-2</v>
      </c>
    </row>
    <row r="39" spans="1:9" x14ac:dyDescent="0.2">
      <c r="A39" s="3" t="s">
        <v>42</v>
      </c>
      <c r="B39" s="3">
        <v>-2.4999999999331113E-7</v>
      </c>
      <c r="C39" s="3">
        <v>0.17029788952740066</v>
      </c>
      <c r="D39" s="3">
        <v>0.64378607287626721</v>
      </c>
      <c r="E39" s="3">
        <v>0.18591628759633227</v>
      </c>
      <c r="F39" s="3">
        <f t="shared" si="0"/>
        <v>1.0000000000000002</v>
      </c>
      <c r="G39" s="4">
        <f t="shared" si="1"/>
        <v>7.4600000000000097E-2</v>
      </c>
      <c r="H39" s="3">
        <f t="array" ref="H39">SQRT(MMULT(B39:E39,MMULT($B$3:$E$6,TRANSPOSE(B39:E39))))</f>
        <v>8.2281592667643288E-2</v>
      </c>
      <c r="I39" s="3">
        <f t="array" ref="I39">MMULT(B39:E39,TRANSPOSE($P$3:$S$3))</f>
        <v>7.4600000368052991E-2</v>
      </c>
    </row>
    <row r="40" spans="1:9" x14ac:dyDescent="0.2">
      <c r="A40" s="3" t="s">
        <v>43</v>
      </c>
      <c r="B40" s="3">
        <v>-2.4999999999331113E-7</v>
      </c>
      <c r="C40" s="3">
        <v>0.17916165091762251</v>
      </c>
      <c r="D40" s="3">
        <v>0.6332499686685672</v>
      </c>
      <c r="E40" s="3">
        <v>0.18758863041381033</v>
      </c>
      <c r="F40" s="3">
        <f t="shared" si="0"/>
        <v>1</v>
      </c>
      <c r="G40" s="4">
        <f t="shared" si="1"/>
        <v>7.5300000000000103E-2</v>
      </c>
      <c r="H40" s="3">
        <f t="array" ref="H40">SQRT(MMULT(B40:E40,MMULT($B$3:$E$6,TRANSPOSE(B40:E40))))</f>
        <v>8.1861127944706152E-2</v>
      </c>
      <c r="I40" s="3">
        <f t="array" ref="I40">MMULT(B40:E40,TRANSPOSE($P$3:$S$3))</f>
        <v>7.5300000358659289E-2</v>
      </c>
    </row>
    <row r="41" spans="1:9" x14ac:dyDescent="0.2">
      <c r="A41" s="3" t="s">
        <v>44</v>
      </c>
      <c r="B41" s="3">
        <v>-2.4999999999331113E-7</v>
      </c>
      <c r="C41" s="3">
        <v>0.18802541230660416</v>
      </c>
      <c r="D41" s="3">
        <v>0.6227138644602358</v>
      </c>
      <c r="E41" s="3">
        <v>0.1892609732331603</v>
      </c>
      <c r="F41" s="3">
        <f t="shared" si="0"/>
        <v>1.0000000000000002</v>
      </c>
      <c r="G41" s="4">
        <f t="shared" si="1"/>
        <v>7.6000000000000109E-2</v>
      </c>
      <c r="H41" s="3">
        <f t="array" ref="H41">SQRT(MMULT(B41:E41,MMULT($B$3:$E$6,TRANSPOSE(B41:E41))))</f>
        <v>8.1475072342980237E-2</v>
      </c>
      <c r="I41" s="3">
        <f t="array" ref="I41">MMULT(B41:E41,TRANSPOSE($P$3:$S$3))</f>
        <v>7.6000000349265587E-2</v>
      </c>
    </row>
    <row r="42" spans="1:9" x14ac:dyDescent="0.2">
      <c r="A42" s="3" t="s">
        <v>45</v>
      </c>
      <c r="B42" s="3">
        <v>-2.4999999999331113E-7</v>
      </c>
      <c r="C42" s="3">
        <v>0.19688788180013062</v>
      </c>
      <c r="D42" s="3">
        <v>0.61217929588793774</v>
      </c>
      <c r="E42" s="3">
        <v>0.19093307231193166</v>
      </c>
      <c r="F42" s="3">
        <f t="shared" si="0"/>
        <v>1</v>
      </c>
      <c r="G42" s="4">
        <f t="shared" si="1"/>
        <v>7.6700000000000115E-2</v>
      </c>
      <c r="H42" s="3">
        <f t="array" ref="H42">SQRT(MMULT(B42:E42,MMULT($B$3:$E$6,TRANSPOSE(B42:E42))))</f>
        <v>8.1123965721603047E-2</v>
      </c>
      <c r="I42" s="3">
        <f t="array" ref="I42">MMULT(B42:E42,TRANSPOSE($P$3:$S$3))</f>
        <v>7.669989831487399E-2</v>
      </c>
    </row>
    <row r="43" spans="1:9" x14ac:dyDescent="0.2">
      <c r="A43" s="3" t="s">
        <v>46</v>
      </c>
      <c r="B43" s="3">
        <v>-2.4999999999331113E-7</v>
      </c>
      <c r="C43" s="3">
        <v>0.2057529350770273</v>
      </c>
      <c r="D43" s="3">
        <v>0.60164165603972886</v>
      </c>
      <c r="E43" s="3">
        <v>0.19260565888324382</v>
      </c>
      <c r="F43" s="3">
        <f t="shared" si="0"/>
        <v>1</v>
      </c>
      <c r="G43" s="4">
        <f t="shared" si="1"/>
        <v>7.7400000000000121E-2</v>
      </c>
      <c r="H43" s="3">
        <f t="array" ref="H43">SQRT(MMULT(B43:E43,MMULT($B$3:$E$6,TRANSPOSE(B43:E43))))</f>
        <v>8.0808117219117542E-2</v>
      </c>
      <c r="I43" s="3">
        <f t="array" ref="I43">MMULT(B43:E43,TRANSPOSE($P$3:$S$3))</f>
        <v>7.7400000330478155E-2</v>
      </c>
    </row>
    <row r="44" spans="1:9" x14ac:dyDescent="0.2">
      <c r="A44" s="3" t="s">
        <v>47</v>
      </c>
      <c r="B44" s="3">
        <v>-2.4999999999331113E-7</v>
      </c>
      <c r="C44" s="3">
        <v>0.21461669645740017</v>
      </c>
      <c r="D44" s="3">
        <v>0.59110555182700952</v>
      </c>
      <c r="E44" s="3">
        <v>0.19427800171559048</v>
      </c>
      <c r="F44" s="3">
        <f t="shared" si="0"/>
        <v>1.0000000000000002</v>
      </c>
      <c r="G44" s="4">
        <f t="shared" si="1"/>
        <v>7.8100000000000128E-2</v>
      </c>
      <c r="H44" s="3">
        <f t="array" ref="H44">SQRT(MMULT(B44:E44,MMULT($B$3:$E$6,TRANSPOSE(B44:E44))))</f>
        <v>8.052808863240897E-2</v>
      </c>
      <c r="I44" s="3">
        <f t="array" ref="I44">MMULT(B44:E44,TRANSPOSE($P$3:$S$3))</f>
        <v>7.8100000321084467E-2</v>
      </c>
    </row>
    <row r="45" spans="1:9" x14ac:dyDescent="0.2">
      <c r="A45" s="3" t="s">
        <v>48</v>
      </c>
      <c r="B45" s="3">
        <v>-2.4999999999331113E-7</v>
      </c>
      <c r="C45" s="3">
        <v>0.22348045783465439</v>
      </c>
      <c r="D45" s="3">
        <v>0.58056944761270035</v>
      </c>
      <c r="E45" s="3">
        <v>0.19595034455264537</v>
      </c>
      <c r="F45" s="3">
        <f t="shared" si="0"/>
        <v>1</v>
      </c>
      <c r="G45" s="4">
        <f t="shared" si="1"/>
        <v>7.8800000000000134E-2</v>
      </c>
      <c r="H45" s="3">
        <f t="array" ref="H45">SQRT(MMULT(B45:E45,MMULT($B$3:$E$6,TRANSPOSE(B45:E45))))</f>
        <v>8.0284205654277421E-2</v>
      </c>
      <c r="I45" s="3">
        <f t="array" ref="I45">MMULT(B45:E45,TRANSPOSE($P$3:$S$3))</f>
        <v>7.8800000311690752E-2</v>
      </c>
    </row>
    <row r="46" spans="1:9" x14ac:dyDescent="0.2">
      <c r="A46" s="3" t="s">
        <v>49</v>
      </c>
      <c r="B46" s="3">
        <v>-2.4999999999331113E-7</v>
      </c>
      <c r="C46" s="3">
        <v>0.23234421920984213</v>
      </c>
      <c r="D46" s="3">
        <v>0.57003334339733769</v>
      </c>
      <c r="E46" s="3">
        <v>0.19762268739281993</v>
      </c>
      <c r="F46" s="3">
        <f t="shared" si="0"/>
        <v>0.99999999999999978</v>
      </c>
      <c r="G46" s="4">
        <f t="shared" si="1"/>
        <v>7.950000000000014E-2</v>
      </c>
      <c r="H46" s="3">
        <f t="array" ref="H46">SQRT(MMULT(B46:E46,MMULT($B$3:$E$6,TRANSPOSE(B46:E46))))</f>
        <v>8.0076798542063496E-2</v>
      </c>
      <c r="I46" s="3">
        <f t="array" ref="I46">MMULT(B46:E46,TRANSPOSE($P$3:$S$3))</f>
        <v>7.9500000302297036E-2</v>
      </c>
    </row>
    <row r="47" spans="1:9" x14ac:dyDescent="0.2">
      <c r="A47" s="3" t="s">
        <v>50</v>
      </c>
      <c r="B47" s="3">
        <v>-2.4999999999331113E-7</v>
      </c>
      <c r="C47" s="3">
        <v>0.24120798058465845</v>
      </c>
      <c r="D47" s="3">
        <v>0.55949723918178684</v>
      </c>
      <c r="E47" s="3">
        <v>0.19929503023355494</v>
      </c>
      <c r="F47" s="3">
        <f t="shared" si="0"/>
        <v>1.0000000000000002</v>
      </c>
      <c r="G47" s="4">
        <f t="shared" si="1"/>
        <v>8.0200000000000146E-2</v>
      </c>
      <c r="H47" s="3">
        <f t="array" ref="H47">SQRT(MMULT(B47:E47,MMULT($B$3:$E$6,TRANSPOSE(B47:E47))))</f>
        <v>7.990615133025035E-2</v>
      </c>
      <c r="I47" s="3">
        <f t="array" ref="I47">MMULT(B47:E47,TRANSPOSE($P$3:$S$3))</f>
        <v>8.0200000292903348E-2</v>
      </c>
    </row>
    <row r="48" spans="1:9" x14ac:dyDescent="0.2">
      <c r="A48" s="3" t="s">
        <v>51</v>
      </c>
      <c r="B48" s="3">
        <v>6.4716235878521872E-3</v>
      </c>
      <c r="C48" s="3">
        <v>0.24344330354543647</v>
      </c>
      <c r="D48" s="3">
        <v>0.54960507422877158</v>
      </c>
      <c r="E48" s="3">
        <v>0.20047999863793983</v>
      </c>
      <c r="F48" s="3">
        <f t="shared" si="0"/>
        <v>1</v>
      </c>
      <c r="G48" s="4">
        <f t="shared" si="1"/>
        <v>8.0900000000000152E-2</v>
      </c>
      <c r="H48" s="3">
        <f t="array" ref="H48">SQRT(MMULT(B48:E48,MMULT($B$3:$E$6,TRANSPOSE(B48:E48))))</f>
        <v>7.976771691840287E-2</v>
      </c>
      <c r="I48" s="3">
        <f t="array" ref="I48">MMULT(B48:E48,TRANSPOSE($P$3:$S$3))</f>
        <v>8.0900000264077898E-2</v>
      </c>
    </row>
    <row r="49" spans="1:9" x14ac:dyDescent="0.2">
      <c r="A49" s="3" t="s">
        <v>52</v>
      </c>
      <c r="B49" s="3">
        <v>1.3166668126595843E-2</v>
      </c>
      <c r="C49" s="3">
        <v>0.24544999878796078</v>
      </c>
      <c r="D49" s="3">
        <v>0.53973508485056265</v>
      </c>
      <c r="E49" s="3">
        <v>0.20164824823488101</v>
      </c>
      <c r="F49" s="3">
        <f t="shared" si="0"/>
        <v>1.0000000000000002</v>
      </c>
      <c r="G49" s="4">
        <f t="shared" si="1"/>
        <v>8.1600000000000159E-2</v>
      </c>
      <c r="H49" s="3">
        <f t="array" ref="H49">SQRT(MMULT(B49:E49,MMULT($B$3:$E$6,TRANSPOSE(B49:E49))))</f>
        <v>7.9656206897195977E-2</v>
      </c>
      <c r="I49" s="3">
        <f t="array" ref="I49">MMULT(B49:E49,TRANSPOSE($P$3:$S$3))</f>
        <v>8.1600000234582165E-2</v>
      </c>
    </row>
    <row r="50" spans="1:9" x14ac:dyDescent="0.2">
      <c r="A50" s="3" t="s">
        <v>53</v>
      </c>
      <c r="B50" s="3">
        <v>1.986168259900567E-2</v>
      </c>
      <c r="C50" s="3">
        <v>0.24745676423917515</v>
      </c>
      <c r="D50" s="3">
        <v>0.52986511256974445</v>
      </c>
      <c r="E50" s="3">
        <v>0.20281644059207457</v>
      </c>
      <c r="F50" s="3">
        <f t="shared" si="0"/>
        <v>0.99999999999999989</v>
      </c>
      <c r="G50" s="4">
        <f t="shared" si="1"/>
        <v>8.2300000000000165E-2</v>
      </c>
      <c r="H50" s="3">
        <f t="array" ref="H50">SQRT(MMULT(B50:E50,MMULT($B$3:$E$6,TRANSPOSE(B50:E50))))</f>
        <v>7.9571728753487614E-2</v>
      </c>
      <c r="I50" s="3">
        <f t="array" ref="I50">MMULT(B50:E50,TRANSPOSE($P$3:$S$3))</f>
        <v>8.2300000205086585E-2</v>
      </c>
    </row>
    <row r="51" spans="1:9" x14ac:dyDescent="0.2">
      <c r="A51" s="3" t="s">
        <v>54</v>
      </c>
      <c r="B51" s="3">
        <v>2.6556680046090544E-2</v>
      </c>
      <c r="C51" s="3">
        <v>0.24946352703618851</v>
      </c>
      <c r="D51" s="3">
        <v>0.51999512835480977</v>
      </c>
      <c r="E51" s="3">
        <v>0.20398466456291103</v>
      </c>
      <c r="F51" s="3">
        <f t="shared" si="0"/>
        <v>0.99999999999999978</v>
      </c>
      <c r="G51" s="4">
        <f t="shared" si="1"/>
        <v>8.3000000000000171E-2</v>
      </c>
      <c r="H51" s="3">
        <f t="array" ref="H51">SQRT(MMULT(B51:E51,MMULT($B$3:$E$6,TRANSPOSE(B51:E51))))</f>
        <v>7.9514368645442271E-2</v>
      </c>
      <c r="I51" s="3">
        <f t="array" ref="I51">MMULT(B51:E51,TRANSPOSE($P$3:$S$3))</f>
        <v>8.3000000175591018E-2</v>
      </c>
    </row>
    <row r="52" spans="1:9" x14ac:dyDescent="0.2">
      <c r="A52" s="3" t="s">
        <v>55</v>
      </c>
      <c r="B52" s="3">
        <v>3.3250762036405472E-2</v>
      </c>
      <c r="C52" s="3">
        <v>0.25146993113024418</v>
      </c>
      <c r="D52" s="3">
        <v>0.5101265864416904</v>
      </c>
      <c r="E52" s="3">
        <v>0.20515272039166005</v>
      </c>
      <c r="F52" s="3">
        <f t="shared" si="0"/>
        <v>1.0000000000000002</v>
      </c>
      <c r="G52" s="4">
        <f t="shared" si="1"/>
        <v>8.3700000000000177E-2</v>
      </c>
      <c r="H52" s="3">
        <f t="array" ref="H52">SQRT(MMULT(B52:E52,MMULT($B$3:$E$6,TRANSPOSE(B52:E52))))</f>
        <v>7.9484187699794373E-2</v>
      </c>
      <c r="I52" s="3">
        <f t="array" ref="I52">MMULT(B52:E52,TRANSPOSE($P$3:$S$3))</f>
        <v>8.3699898121100319E-2</v>
      </c>
    </row>
    <row r="53" spans="1:9" x14ac:dyDescent="0.2">
      <c r="A53" s="3" t="s">
        <v>56</v>
      </c>
      <c r="B53" s="3">
        <v>3.9946807992786111E-2</v>
      </c>
      <c r="C53" s="3">
        <v>0.2534769003371613</v>
      </c>
      <c r="D53" s="3">
        <v>0.5002551649974798</v>
      </c>
      <c r="E53" s="3">
        <v>0.20632112667257249</v>
      </c>
      <c r="F53" s="3">
        <f t="shared" si="0"/>
        <v>0.99999999999999967</v>
      </c>
      <c r="G53" s="4">
        <f t="shared" si="1"/>
        <v>8.4400000000000183E-2</v>
      </c>
      <c r="H53" s="3">
        <f t="array" ref="H53">SQRT(MMULT(B53:E53,MMULT($B$3:$E$6,TRANSPOSE(B53:E53))))</f>
        <v>7.9481209626541066E-2</v>
      </c>
      <c r="I53" s="3">
        <f t="array" ref="I53">MMULT(B53:E53,TRANSPOSE($P$3:$S$3))</f>
        <v>8.44000001165994E-2</v>
      </c>
    </row>
    <row r="54" spans="1:9" x14ac:dyDescent="0.2">
      <c r="A54" s="3" t="s">
        <v>57</v>
      </c>
      <c r="B54" s="3">
        <v>4.6641856411052646E-2</v>
      </c>
      <c r="C54" s="3">
        <v>0.25548359339177057</v>
      </c>
      <c r="D54" s="3">
        <v>0.49038517691528483</v>
      </c>
      <c r="E54" s="3">
        <v>0.20748937328189215</v>
      </c>
      <c r="F54" s="3">
        <f t="shared" si="0"/>
        <v>1.0000000000000002</v>
      </c>
      <c r="G54" s="4">
        <f t="shared" si="1"/>
        <v>8.5100000000000189E-2</v>
      </c>
      <c r="H54" s="3">
        <f t="array" ref="H54">SQRT(MMULT(B54:E54,MMULT($B$3:$E$6,TRANSPOSE(B54:E54))))</f>
        <v>7.9505444732094865E-2</v>
      </c>
      <c r="I54" s="3">
        <f t="array" ref="I54">MMULT(B54:E54,TRANSPOSE($P$3:$S$3))</f>
        <v>8.5100000087103653E-2</v>
      </c>
    </row>
    <row r="55" spans="1:9" x14ac:dyDescent="0.2">
      <c r="A55" s="3" t="s">
        <v>58</v>
      </c>
      <c r="B55" s="3">
        <v>5.3335917573561473E-2</v>
      </c>
      <c r="C55" s="3">
        <v>0.25749001596453336</v>
      </c>
      <c r="D55" s="3">
        <v>0.48051663147575024</v>
      </c>
      <c r="E55" s="3">
        <v>0.20865743498615505</v>
      </c>
      <c r="F55" s="3">
        <f t="shared" si="0"/>
        <v>1</v>
      </c>
      <c r="G55" s="4">
        <f t="shared" si="1"/>
        <v>8.5800000000000196E-2</v>
      </c>
      <c r="H55" s="3">
        <f t="array" ref="H55">SQRT(MMULT(B55:E55,MMULT($B$3:$E$6,TRANSPOSE(B55:E55))))</f>
        <v>7.9556856258689648E-2</v>
      </c>
      <c r="I55" s="3">
        <f t="array" ref="I55">MMULT(B55:E55,TRANSPOSE($P$3:$S$3))</f>
        <v>8.5799898032612995E-2</v>
      </c>
    </row>
    <row r="56" spans="1:9" x14ac:dyDescent="0.2">
      <c r="A56" s="3" t="s">
        <v>59</v>
      </c>
      <c r="B56" s="3">
        <v>6.0030967511320324E-2</v>
      </c>
      <c r="C56" s="3">
        <v>0.25949672510480232</v>
      </c>
      <c r="D56" s="3">
        <v>0.47064665253642407</v>
      </c>
      <c r="E56" s="3">
        <v>0.2098256548474535</v>
      </c>
      <c r="F56" s="3">
        <f t="shared" si="0"/>
        <v>1.0000000000000002</v>
      </c>
      <c r="G56" s="4">
        <f t="shared" si="1"/>
        <v>8.6500000000000202E-2</v>
      </c>
      <c r="H56" s="3">
        <f t="array" ref="H56">SQRT(MMULT(B56:E56,MMULT($B$3:$E$6,TRANSPOSE(B56:E56))))</f>
        <v>7.9635406541182063E-2</v>
      </c>
      <c r="I56" s="3">
        <f t="array" ref="I56">MMULT(B56:E56,TRANSPOSE($P$3:$S$3))</f>
        <v>8.6499898003117262E-2</v>
      </c>
    </row>
    <row r="57" spans="1:9" x14ac:dyDescent="0.2">
      <c r="A57" s="3" t="s">
        <v>60</v>
      </c>
      <c r="B57" s="3">
        <v>6.6726853009150294E-2</v>
      </c>
      <c r="C57" s="3">
        <v>0.26150387549777776</v>
      </c>
      <c r="D57" s="3">
        <v>0.4607752235734327</v>
      </c>
      <c r="E57" s="3">
        <v>0.21099404791963933</v>
      </c>
      <c r="F57" s="3">
        <f t="shared" si="0"/>
        <v>1</v>
      </c>
      <c r="G57" s="4">
        <f t="shared" si="1"/>
        <v>8.7200000000000208E-2</v>
      </c>
      <c r="H57" s="3">
        <f t="array" ref="H57">SQRT(MMULT(B57:E57,MMULT($B$3:$E$6,TRANSPOSE(B57:E57))))</f>
        <v>7.9741027240968418E-2</v>
      </c>
      <c r="I57" s="3">
        <f t="array" ref="I57">MMULT(B57:E57,TRANSPOSE($P$3:$S$3))</f>
        <v>8.7200000005097159E-2</v>
      </c>
    </row>
    <row r="58" spans="1:9" x14ac:dyDescent="0.2">
      <c r="A58" s="3" t="s">
        <v>61</v>
      </c>
      <c r="B58" s="3">
        <v>7.3421876526946817E-2</v>
      </c>
      <c r="C58" s="3">
        <v>0.2635105872005622</v>
      </c>
      <c r="D58" s="3">
        <v>0.45090522872907612</v>
      </c>
      <c r="E58" s="3">
        <v>0.21216230754341495</v>
      </c>
      <c r="F58" s="3">
        <f t="shared" si="0"/>
        <v>1</v>
      </c>
      <c r="G58" s="4">
        <f t="shared" si="1"/>
        <v>8.7900000000000214E-2</v>
      </c>
      <c r="H58" s="3">
        <f t="array" ref="H58">SQRT(MMULT(B58:E58,MMULT($B$3:$E$6,TRANSPOSE(B58:E58))))</f>
        <v>7.9873580261815291E-2</v>
      </c>
      <c r="I58" s="3">
        <f t="array" ref="I58">MMULT(B58:E58,TRANSPOSE($P$3:$S$3))</f>
        <v>8.7900000012380061E-2</v>
      </c>
    </row>
    <row r="59" spans="1:9" x14ac:dyDescent="0.2">
      <c r="A59" s="3" t="s">
        <v>62</v>
      </c>
      <c r="B59" s="3">
        <v>8.0116970515476199E-2</v>
      </c>
      <c r="C59" s="3">
        <v>0.26551723120442483</v>
      </c>
      <c r="D59" s="3">
        <v>0.44103524317805104</v>
      </c>
      <c r="E59" s="3">
        <v>0.21333055510204799</v>
      </c>
      <c r="F59" s="3">
        <f t="shared" si="0"/>
        <v>1</v>
      </c>
      <c r="G59" s="4">
        <f t="shared" si="1"/>
        <v>8.860000000000022E-2</v>
      </c>
      <c r="H59" s="3">
        <f t="array" ref="H59">SQRT(MMULT(B59:E59,MMULT($B$3:$E$6,TRANSPOSE(B59:E59))))</f>
        <v>8.0032945137525652E-2</v>
      </c>
      <c r="I59" s="3">
        <f t="array" ref="I59">MMULT(B59:E59,TRANSPOSE($P$3:$S$3))</f>
        <v>8.860000001966277E-2</v>
      </c>
    </row>
    <row r="60" spans="1:9" x14ac:dyDescent="0.2">
      <c r="A60" s="3" t="s">
        <v>63</v>
      </c>
      <c r="B60" s="3">
        <v>8.6812000494379274E-2</v>
      </c>
      <c r="C60" s="3">
        <v>0.2675239598793952</v>
      </c>
      <c r="D60" s="3">
        <v>0.43116526099964619</v>
      </c>
      <c r="E60" s="3">
        <v>0.21449877862657935</v>
      </c>
      <c r="F60" s="3">
        <f t="shared" si="0"/>
        <v>1</v>
      </c>
      <c r="G60" s="4">
        <f t="shared" si="1"/>
        <v>8.9300000000000226E-2</v>
      </c>
      <c r="H60" s="3">
        <f t="array" ref="H60">SQRT(MMULT(B60:E60,MMULT($B$3:$E$6,TRANSPOSE(B60:E60))))</f>
        <v>8.0218962073075162E-2</v>
      </c>
      <c r="I60" s="3">
        <f t="array" ref="I60">MMULT(B60:E60,TRANSPOSE($P$3:$S$3))</f>
        <v>8.9300000026945686E-2</v>
      </c>
    </row>
    <row r="61" spans="1:9" x14ac:dyDescent="0.2">
      <c r="A61" s="3" t="s">
        <v>64</v>
      </c>
      <c r="B61" s="3">
        <v>9.3507044875023052E-2</v>
      </c>
      <c r="C61" s="3">
        <v>0.26953067084279586</v>
      </c>
      <c r="D61" s="3">
        <v>0.42129527874481443</v>
      </c>
      <c r="E61" s="3">
        <v>0.21566700553736687</v>
      </c>
      <c r="F61" s="3">
        <f t="shared" si="0"/>
        <v>1.0000000000000002</v>
      </c>
      <c r="G61" s="4">
        <f t="shared" si="1"/>
        <v>9.0000000000000233E-2</v>
      </c>
      <c r="H61" s="3">
        <f t="array" ref="H61">SQRT(MMULT(B61:E61,MMULT($B$3:$E$6,TRANSPOSE(B61:E61))))</f>
        <v>8.0431446150908345E-2</v>
      </c>
      <c r="I61" s="3">
        <f t="array" ref="I61">MMULT(B61:E61,TRANSPOSE($P$3:$S$3))</f>
        <v>9.0000000034228589E-2</v>
      </c>
    </row>
    <row r="62" spans="1:9" x14ac:dyDescent="0.2">
      <c r="A62" s="3" t="s">
        <v>65</v>
      </c>
      <c r="B62" s="3">
        <v>0.10020207975311986</v>
      </c>
      <c r="C62" s="3">
        <v>0.27153739357176265</v>
      </c>
      <c r="D62" s="3">
        <v>0.41142529658074117</v>
      </c>
      <c r="E62" s="3">
        <v>0.21683523009437644</v>
      </c>
      <c r="F62" s="3">
        <f t="shared" si="0"/>
        <v>1</v>
      </c>
      <c r="G62" s="4">
        <f t="shared" si="1"/>
        <v>9.0700000000000239E-2</v>
      </c>
      <c r="H62" s="3">
        <f t="array" ref="H62">SQRT(MMULT(B62:E62,MMULT($B$3:$E$6,TRANSPOSE(B62:E62))))</f>
        <v>8.0670188229116993E-2</v>
      </c>
      <c r="I62" s="3">
        <f t="array" ref="I62">MMULT(B62:E62,TRANSPOSE($P$3:$S$3))</f>
        <v>9.0700000041511492E-2</v>
      </c>
    </row>
    <row r="63" spans="1:9" x14ac:dyDescent="0.2">
      <c r="A63" s="3" t="s">
        <v>66</v>
      </c>
      <c r="B63" s="3">
        <v>0.10689710126303777</v>
      </c>
      <c r="C63" s="3">
        <v>0.27354413257537741</v>
      </c>
      <c r="D63" s="3">
        <v>0.40155531433429092</v>
      </c>
      <c r="E63" s="3">
        <v>0.21800345182729386</v>
      </c>
      <c r="F63" s="3">
        <f t="shared" si="0"/>
        <v>0.99999999999999989</v>
      </c>
      <c r="G63" s="4">
        <f t="shared" si="1"/>
        <v>9.1400000000000245E-2</v>
      </c>
      <c r="H63" s="3">
        <f t="array" ref="H63">SQRT(MMULT(B63:E63,MMULT($B$3:$E$6,TRANSPOSE(B63:E63))))</f>
        <v>8.0934955941614095E-2</v>
      </c>
      <c r="I63" s="3">
        <f t="array" ref="I63">MMULT(B63:E63,TRANSPOSE($P$3:$S$3))</f>
        <v>9.140000005199371E-2</v>
      </c>
    </row>
    <row r="64" spans="1:9" x14ac:dyDescent="0.2">
      <c r="A64" s="3" t="s">
        <v>67</v>
      </c>
      <c r="B64" s="3">
        <v>0.11359211805538479</v>
      </c>
      <c r="C64" s="3">
        <v>0.27555087744055923</v>
      </c>
      <c r="D64" s="3">
        <v>0.3916853322809532</v>
      </c>
      <c r="E64" s="3">
        <v>0.21917167222310271</v>
      </c>
      <c r="F64" s="3">
        <f t="shared" si="0"/>
        <v>1</v>
      </c>
      <c r="G64" s="4">
        <f t="shared" si="1"/>
        <v>9.2100000000000251E-2</v>
      </c>
      <c r="H64" s="3">
        <f t="array" ref="H64">SQRT(MMULT(B64:E64,MMULT($B$3:$E$6,TRANSPOSE(B64:E64))))</f>
        <v>8.1225494780639673E-2</v>
      </c>
      <c r="I64" s="3">
        <f t="array" ref="I64">MMULT(B64:E64,TRANSPOSE($P$3:$S$3))</f>
        <v>9.2100000056077547E-2</v>
      </c>
    </row>
    <row r="65" spans="1:9" x14ac:dyDescent="0.2">
      <c r="A65" s="3" t="s">
        <v>68</v>
      </c>
      <c r="B65" s="3">
        <v>0.12028718324226829</v>
      </c>
      <c r="C65" s="3">
        <v>0.27755756275736937</v>
      </c>
      <c r="D65" s="3">
        <v>0.38181534988582466</v>
      </c>
      <c r="E65" s="3">
        <v>0.22033990411453777</v>
      </c>
      <c r="F65" s="3">
        <f t="shared" si="0"/>
        <v>1</v>
      </c>
      <c r="G65" s="4">
        <f t="shared" si="1"/>
        <v>9.2800000000000257E-2</v>
      </c>
      <c r="H65" s="3">
        <f t="array" ref="H65">SQRT(MMULT(B65:E65,MMULT($B$3:$E$6,TRANSPOSE(B65:E65))))</f>
        <v>8.1541529276826286E-2</v>
      </c>
      <c r="I65" s="3">
        <f t="array" ref="I65">MMULT(B65:E65,TRANSPOSE($P$3:$S$3))</f>
        <v>9.280000006336038E-2</v>
      </c>
    </row>
    <row r="66" spans="1:9" x14ac:dyDescent="0.2">
      <c r="A66" s="3" t="s">
        <v>69</v>
      </c>
      <c r="B66" s="3">
        <v>0.12698217962578864</v>
      </c>
      <c r="C66" s="3">
        <v>0.27956433143352644</v>
      </c>
      <c r="D66" s="3">
        <v>0.37194536719532684</v>
      </c>
      <c r="E66" s="3">
        <v>0.22150812174535808</v>
      </c>
      <c r="F66" s="3">
        <f t="shared" si="0"/>
        <v>1</v>
      </c>
      <c r="G66" s="4">
        <f t="shared" si="1"/>
        <v>9.3500000000000263E-2</v>
      </c>
      <c r="H66" s="3">
        <f t="array" ref="H66">SQRT(MMULT(B66:E66,MMULT($B$3:$E$6,TRANSPOSE(B66:E66))))</f>
        <v>8.1882764221015272E-2</v>
      </c>
      <c r="I66" s="3">
        <f t="array" ref="I66">MMULT(B66:E66,TRANSPOSE($P$3:$S$3))</f>
        <v>9.3500000071577161E-2</v>
      </c>
    </row>
    <row r="67" spans="1:9" x14ac:dyDescent="0.2">
      <c r="A67" s="3" t="s">
        <v>70</v>
      </c>
      <c r="B67" s="3">
        <v>0.13367721740613825</v>
      </c>
      <c r="C67" s="3">
        <v>0.28157105003232619</v>
      </c>
      <c r="D67" s="3">
        <v>0.36207538475004741</v>
      </c>
      <c r="E67" s="3">
        <v>0.2226763478114881</v>
      </c>
      <c r="F67" s="3">
        <f t="shared" si="0"/>
        <v>1</v>
      </c>
      <c r="G67" s="4">
        <f t="shared" si="1"/>
        <v>9.420000000000027E-2</v>
      </c>
      <c r="H67" s="3">
        <f t="array" ref="H67">SQRT(MMULT(B67:E67,MMULT($B$3:$E$6,TRANSPOSE(B67:E67))))</f>
        <v>8.2248885956834356E-2</v>
      </c>
      <c r="I67" s="3">
        <f t="array" ref="I67">MMULT(B67:E67,TRANSPOSE($P$3:$S$3))</f>
        <v>9.420000007792631E-2</v>
      </c>
    </row>
    <row r="68" spans="1:9" x14ac:dyDescent="0.2">
      <c r="A68" s="3" t="s">
        <v>71</v>
      </c>
      <c r="B68" s="3">
        <v>0.14037230059845965</v>
      </c>
      <c r="C68" s="3">
        <v>0.28357771477504828</v>
      </c>
      <c r="D68" s="3">
        <v>0.35220540305924836</v>
      </c>
      <c r="E68" s="3">
        <v>0.22384458156724368</v>
      </c>
      <c r="F68" s="3">
        <f t="shared" si="0"/>
        <v>1</v>
      </c>
      <c r="G68" s="4">
        <f t="shared" si="1"/>
        <v>9.4900000000000276E-2</v>
      </c>
      <c r="H68" s="3">
        <f t="array" ref="H68">SQRT(MMULT(B68:E68,MMULT($B$3:$E$6,TRANSPOSE(B68:E68))))</f>
        <v>8.2639563715167452E-2</v>
      </c>
      <c r="I68" s="3">
        <f t="array" ref="I68">MMULT(B68:E68,TRANSPOSE($P$3:$S$3))</f>
        <v>9.4900000085209074E-2</v>
      </c>
    </row>
    <row r="69" spans="1:9" x14ac:dyDescent="0.2">
      <c r="A69" s="3" t="s">
        <v>72</v>
      </c>
      <c r="B69" s="3">
        <v>0.14706731471651241</v>
      </c>
      <c r="C69" s="3">
        <v>0.28558446154786016</v>
      </c>
      <c r="D69" s="3">
        <v>0.34233542024729979</v>
      </c>
      <c r="E69" s="3">
        <v>0.22501280348832772</v>
      </c>
      <c r="F69" s="3">
        <f t="shared" si="0"/>
        <v>1</v>
      </c>
      <c r="G69" s="4">
        <f t="shared" si="1"/>
        <v>9.5600000000000282E-2</v>
      </c>
      <c r="H69" s="3">
        <f t="array" ref="H69">SQRT(MMULT(B69:E69,MMULT($B$3:$E$6,TRANSPOSE(B69:E69))))</f>
        <v>8.3054450970889551E-2</v>
      </c>
      <c r="I69" s="3">
        <f t="array" ref="I69">MMULT(B69:E69,TRANSPOSE($P$3:$S$3))</f>
        <v>9.560000009249206E-2</v>
      </c>
    </row>
    <row r="70" spans="1:9" x14ac:dyDescent="0.2">
      <c r="A70" s="3" t="s">
        <v>73</v>
      </c>
      <c r="B70" s="3">
        <v>0.15376233974577519</v>
      </c>
      <c r="C70" s="3">
        <v>0.28759119513820869</v>
      </c>
      <c r="D70" s="3">
        <v>0.33246543749792312</v>
      </c>
      <c r="E70" s="3">
        <v>0.22618102761809294</v>
      </c>
      <c r="F70" s="3">
        <f t="shared" si="0"/>
        <v>1</v>
      </c>
      <c r="G70" s="4">
        <f t="shared" si="1"/>
        <v>9.6300000000000288E-2</v>
      </c>
      <c r="H70" s="3">
        <f t="array" ref="H70">SQRT(MMULT(B70:E70,MMULT($B$3:$E$6,TRANSPOSE(B70:E70))))</f>
        <v>8.3493186825442697E-2</v>
      </c>
      <c r="I70" s="3">
        <f t="array" ref="I70">MMULT(B70:E70,TRANSPOSE($P$3:$S$3))</f>
        <v>9.6300000099775018E-2</v>
      </c>
    </row>
    <row r="71" spans="1:9" x14ac:dyDescent="0.2">
      <c r="A71" s="3" t="s">
        <v>74</v>
      </c>
      <c r="B71" s="3">
        <v>0.16045745553140051</v>
      </c>
      <c r="C71" s="3">
        <v>0.28959782287709451</v>
      </c>
      <c r="D71" s="3">
        <v>0.32259545720402105</v>
      </c>
      <c r="E71" s="3">
        <v>0.22734926438748401</v>
      </c>
      <c r="F71" s="3">
        <f t="shared" si="0"/>
        <v>1</v>
      </c>
      <c r="G71" s="4">
        <f t="shared" si="1"/>
        <v>9.7000000000000294E-2</v>
      </c>
      <c r="H71" s="3">
        <f t="array" ref="H71">SQRT(MMULT(B71:E71,MMULT($B$3:$E$6,TRANSPOSE(B71:E71))))</f>
        <v>8.3955397394153794E-2</v>
      </c>
      <c r="I71" s="3">
        <f t="array" ref="I71">MMULT(B71:E71,TRANSPOSE($P$3:$S$3))</f>
        <v>9.7000000107057643E-2</v>
      </c>
    </row>
    <row r="72" spans="1:9" x14ac:dyDescent="0.2">
      <c r="A72" s="3" t="s">
        <v>75</v>
      </c>
      <c r="B72" s="3">
        <v>0.16715249737466317</v>
      </c>
      <c r="C72" s="3">
        <v>0.2916045374556438</v>
      </c>
      <c r="D72" s="3">
        <v>0.31272547521475219</v>
      </c>
      <c r="E72" s="3">
        <v>0.22851748995494098</v>
      </c>
      <c r="F72" s="3">
        <f t="shared" si="0"/>
        <v>1</v>
      </c>
      <c r="G72" s="4">
        <f t="shared" si="1"/>
        <v>9.77000000000003E-2</v>
      </c>
      <c r="H72" s="3">
        <f t="array" ref="H72">SQRT(MMULT(B72:E72,MMULT($B$3:$E$6,TRANSPOSE(B72:E72))))</f>
        <v>8.444069719099942E-2</v>
      </c>
      <c r="I72" s="3">
        <f t="array" ref="I72">MMULT(B72:E72,TRANSPOSE($P$3:$S$3))</f>
        <v>9.770000011434056E-2</v>
      </c>
    </row>
    <row r="73" spans="1:9" x14ac:dyDescent="0.2">
      <c r="A73" s="3" t="s">
        <v>76</v>
      </c>
      <c r="B73" s="3">
        <v>0.17384753609450274</v>
      </c>
      <c r="C73" s="3">
        <v>0.29361125578486691</v>
      </c>
      <c r="D73" s="3">
        <v>0.30285549319589267</v>
      </c>
      <c r="E73" s="3">
        <v>0.22968571492473761</v>
      </c>
      <c r="F73" s="3">
        <f t="shared" si="0"/>
        <v>1</v>
      </c>
      <c r="G73" s="4">
        <f t="shared" si="1"/>
        <v>9.8400000000000307E-2</v>
      </c>
      <c r="H73" s="3">
        <f t="array" ref="H73">SQRT(MMULT(B73:E73,MMULT($B$3:$E$6,TRANSPOSE(B73:E73))))</f>
        <v>8.4948690500463442E-2</v>
      </c>
      <c r="I73" s="3">
        <f t="array" ref="I73">MMULT(B73:E73,TRANSPOSE($P$3:$S$3))</f>
        <v>9.8400000121623463E-2</v>
      </c>
    </row>
    <row r="74" spans="1:9" x14ac:dyDescent="0.2">
      <c r="A74" s="3" t="s">
        <v>77</v>
      </c>
      <c r="B74" s="3">
        <v>0.18054259444577417</v>
      </c>
      <c r="C74" s="3">
        <v>0.29561795273164693</v>
      </c>
      <c r="D74" s="3">
        <v>0.29298551247992655</v>
      </c>
      <c r="E74" s="3">
        <v>0.23085394034265233</v>
      </c>
      <c r="F74" s="3">
        <f t="shared" si="0"/>
        <v>1</v>
      </c>
      <c r="G74" s="4">
        <f t="shared" si="1"/>
        <v>9.9100000000000313E-2</v>
      </c>
      <c r="H74" s="3">
        <f t="array" ref="H74">SQRT(MMULT(B74:E74,MMULT($B$3:$E$6,TRANSPOSE(B74:E74))))</f>
        <v>8.5478972727418362E-2</v>
      </c>
      <c r="I74" s="3">
        <f t="array" ref="I74">MMULT(B74:E74,TRANSPOSE($P$3:$S$3))</f>
        <v>9.9100000128906324E-2</v>
      </c>
    </row>
    <row r="75" spans="1:9" x14ac:dyDescent="0.2">
      <c r="A75" s="3" t="s">
        <v>78</v>
      </c>
      <c r="B75" s="3">
        <v>0.18723763779929845</v>
      </c>
      <c r="C75" s="3">
        <v>0.29762466741211646</v>
      </c>
      <c r="D75" s="3">
        <v>0.28311553148124041</v>
      </c>
      <c r="E75" s="3">
        <v>0.23202216330734476</v>
      </c>
      <c r="F75" s="3">
        <f t="shared" si="0"/>
        <v>1</v>
      </c>
      <c r="G75" s="4">
        <f t="shared" si="1"/>
        <v>9.9800000000000319E-2</v>
      </c>
      <c r="H75" s="3">
        <f t="array" ref="H75">SQRT(MMULT(B75:E75,MMULT($B$3:$E$6,TRANSPOSE(B75:E75))))</f>
        <v>8.6031131716812967E-2</v>
      </c>
      <c r="I75" s="3">
        <f t="array" ref="I75">MMULT(B75:E75,TRANSPOSE($P$3:$S$3))</f>
        <v>9.9800000136189213E-2</v>
      </c>
    </row>
    <row r="76" spans="1:9" x14ac:dyDescent="0.2">
      <c r="A76" s="3" t="s">
        <v>79</v>
      </c>
      <c r="B76" s="3">
        <v>0.19393271220346744</v>
      </c>
      <c r="C76" s="3">
        <v>0.29963135404861524</v>
      </c>
      <c r="D76" s="3">
        <v>0.27324555548732626</v>
      </c>
      <c r="E76" s="3">
        <v>0.23319037826059111</v>
      </c>
      <c r="F76" s="3">
        <f t="shared" ref="F76:F110" si="2">SUM(B76:E76)</f>
        <v>1</v>
      </c>
      <c r="G76" s="4">
        <f t="shared" si="1"/>
        <v>0.10050000000000033</v>
      </c>
      <c r="H76" s="3">
        <f t="array" ref="H76">SQRT(MMULT(B76:E76,MMULT($B$3:$E$6,TRANSPOSE(B76:E76))))</f>
        <v>8.6604749035871315E-2</v>
      </c>
      <c r="I76" s="3">
        <f t="array" ref="I76">MMULT(B76:E76,TRANSPOSE($P$3:$S$3))</f>
        <v>0.10050000014347173</v>
      </c>
    </row>
    <row r="77" spans="1:9" x14ac:dyDescent="0.2">
      <c r="A77" s="3" t="s">
        <v>80</v>
      </c>
      <c r="B77" s="3">
        <v>0.20062773796035344</v>
      </c>
      <c r="C77" s="3">
        <v>0.30163808883794069</v>
      </c>
      <c r="D77" s="3">
        <v>0.26337557380126325</v>
      </c>
      <c r="E77" s="3">
        <v>0.23435859940044271</v>
      </c>
      <c r="F77" s="3">
        <f t="shared" si="2"/>
        <v>1</v>
      </c>
      <c r="G77" s="4">
        <f t="shared" ref="G77:G105" si="3">G76+0.0007</f>
        <v>0.10120000000000033</v>
      </c>
      <c r="H77" s="3">
        <f t="array" ref="H77">SQRT(MMULT(B77:E77,MMULT($B$3:$E$6,TRANSPOSE(B77:E77))))</f>
        <v>8.7199401212431027E-2</v>
      </c>
      <c r="I77" s="3">
        <f t="array" ref="I77">MMULT(B77:E77,TRANSPOSE($P$3:$S$3))</f>
        <v>0.10120000015075467</v>
      </c>
    </row>
    <row r="78" spans="1:9" x14ac:dyDescent="0.2">
      <c r="A78" s="3" t="s">
        <v>81</v>
      </c>
      <c r="B78" s="3">
        <v>0.20732278902276305</v>
      </c>
      <c r="C78" s="3">
        <v>0.30364481141625327</v>
      </c>
      <c r="D78" s="3">
        <v>0.25350560161904212</v>
      </c>
      <c r="E78" s="3">
        <v>0.23552679794194165</v>
      </c>
      <c r="F78" s="3">
        <f t="shared" si="2"/>
        <v>1</v>
      </c>
      <c r="G78" s="4">
        <f t="shared" si="3"/>
        <v>0.10190000000000034</v>
      </c>
      <c r="H78" s="3">
        <f t="array" ref="H78">SQRT(MMULT(B78:E78,MMULT($B$3:$E$6,TRANSPOSE(B78:E78))))</f>
        <v>8.781466092399727E-2</v>
      </c>
      <c r="I78" s="3">
        <f t="array" ref="I78">MMULT(B78:E78,TRANSPOSE($P$3:$S$3))</f>
        <v>0.1019000001580376</v>
      </c>
    </row>
    <row r="79" spans="1:9" x14ac:dyDescent="0.2">
      <c r="A79" s="3" t="s">
        <v>82</v>
      </c>
      <c r="B79" s="3">
        <v>0.21401779648889568</v>
      </c>
      <c r="C79" s="3">
        <v>0.30565158393388214</v>
      </c>
      <c r="D79" s="3">
        <v>0.24363562858529111</v>
      </c>
      <c r="E79" s="3">
        <v>0.23669499099193111</v>
      </c>
      <c r="F79" s="3">
        <f t="shared" si="2"/>
        <v>1</v>
      </c>
      <c r="G79" s="4">
        <f t="shared" si="3"/>
        <v>0.10260000000000034</v>
      </c>
      <c r="H79" s="3">
        <f t="array" ref="H79">SQRT(MMULT(B79:E79,MMULT($B$3:$E$6,TRANSPOSE(B79:E79))))</f>
        <v>8.84500980990897E-2</v>
      </c>
      <c r="I79" s="3">
        <f t="array" ref="I79">MMULT(B79:E79,TRANSPOSE($P$3:$S$3))</f>
        <v>0.10260000012854606</v>
      </c>
    </row>
    <row r="80" spans="1:9" x14ac:dyDescent="0.2">
      <c r="A80" s="3" t="s">
        <v>83</v>
      </c>
      <c r="B80" s="3">
        <v>0.22071277031076478</v>
      </c>
      <c r="C80" s="3">
        <v>0.30765836107419953</v>
      </c>
      <c r="D80" s="3">
        <v>0.23376563620269084</v>
      </c>
      <c r="E80" s="3">
        <v>0.23786323241234483</v>
      </c>
      <c r="F80" s="3">
        <f t="shared" si="2"/>
        <v>1</v>
      </c>
      <c r="G80" s="4">
        <f t="shared" si="3"/>
        <v>0.10330000000000035</v>
      </c>
      <c r="H80" s="3">
        <f t="array" ref="H80">SQRT(MMULT(B80:E80,MMULT($B$3:$E$6,TRANSPOSE(B80:E80))))</f>
        <v>8.9105281129863587E-2</v>
      </c>
      <c r="I80" s="3">
        <f t="array" ref="I80">MMULT(B80:E80,TRANSPOSE($P$3:$S$3))</f>
        <v>0.10330000013601451</v>
      </c>
    </row>
    <row r="81" spans="1:9" x14ac:dyDescent="0.2">
      <c r="A81" s="3" t="s">
        <v>84</v>
      </c>
      <c r="B81" s="3">
        <v>0.22740778802137804</v>
      </c>
      <c r="C81" s="3">
        <v>0.30966511037608579</v>
      </c>
      <c r="D81" s="3">
        <v>0.22389565612542139</v>
      </c>
      <c r="E81" s="3">
        <v>0.2390314454771148</v>
      </c>
      <c r="F81" s="3">
        <f t="shared" si="2"/>
        <v>1</v>
      </c>
      <c r="G81" s="4">
        <f t="shared" si="3"/>
        <v>0.10400000000000036</v>
      </c>
      <c r="H81" s="3">
        <f t="array" ref="H81">SQRT(MMULT(B81:E81,MMULT($B$3:$E$6,TRANSPOSE(B81:E81))))</f>
        <v>8.9779777724536367E-2</v>
      </c>
      <c r="I81" s="3">
        <f t="array" ref="I81">MMULT(B81:E81,TRANSPOSE($P$3:$S$3))</f>
        <v>0.10400000017989897</v>
      </c>
    </row>
    <row r="82" spans="1:9" x14ac:dyDescent="0.2">
      <c r="A82" s="3" t="s">
        <v>85</v>
      </c>
      <c r="B82" s="3">
        <v>0.23410281602448962</v>
      </c>
      <c r="C82" s="3">
        <v>0.31167183224111561</v>
      </c>
      <c r="D82" s="3">
        <v>0.21402567002900796</v>
      </c>
      <c r="E82" s="3">
        <v>0.24019968170538675</v>
      </c>
      <c r="F82" s="3">
        <f t="shared" si="2"/>
        <v>0.99999999999999989</v>
      </c>
      <c r="G82" s="4">
        <f t="shared" si="3"/>
        <v>0.10470000000000036</v>
      </c>
      <c r="H82" s="3">
        <f t="array" ref="H82">SQRT(MMULT(B82:E82,MMULT($B$3:$E$6,TRANSPOSE(B82:E82))))</f>
        <v>9.0473155817960768E-2</v>
      </c>
      <c r="I82" s="3">
        <f t="array" ref="I82">MMULT(B82:E82,TRANSPOSE($P$3:$S$3))</f>
        <v>0.10470000015087332</v>
      </c>
    </row>
    <row r="83" spans="1:9" x14ac:dyDescent="0.2">
      <c r="A83" s="3" t="s">
        <v>86</v>
      </c>
      <c r="B83" s="3">
        <v>0.24079783619388381</v>
      </c>
      <c r="C83" s="3">
        <v>0.31367856920438469</v>
      </c>
      <c r="D83" s="3">
        <v>0.20415568597576775</v>
      </c>
      <c r="E83" s="3">
        <v>0.24136790862596369</v>
      </c>
      <c r="F83" s="3">
        <f t="shared" si="2"/>
        <v>0.99999999999999989</v>
      </c>
      <c r="G83" s="4">
        <f t="shared" si="3"/>
        <v>0.10540000000000037</v>
      </c>
      <c r="H83" s="3">
        <f t="array" ref="H83">SQRT(MMULT(B83:E83,MMULT($B$3:$E$6,TRANSPOSE(B83:E83))))</f>
        <v>9.1184984786955928E-2</v>
      </c>
      <c r="I83" s="3">
        <f t="array" ref="I83">MMULT(B83:E83,TRANSPOSE($P$3:$S$3))</f>
        <v>0.10540000015827397</v>
      </c>
    </row>
    <row r="84" spans="1:9" x14ac:dyDescent="0.2">
      <c r="A84" s="3" t="s">
        <v>87</v>
      </c>
      <c r="B84" s="3">
        <v>0.24749290135058186</v>
      </c>
      <c r="C84" s="3">
        <v>0.31568524041560825</v>
      </c>
      <c r="D84" s="3">
        <v>0.19428569637036117</v>
      </c>
      <c r="E84" s="3">
        <v>0.24253616186344865</v>
      </c>
      <c r="F84" s="3">
        <f t="shared" si="2"/>
        <v>0.99999999999999989</v>
      </c>
      <c r="G84" s="4">
        <f t="shared" si="3"/>
        <v>0.10610000000000037</v>
      </c>
      <c r="H84" s="3">
        <f t="array" ref="H84">SQRT(MMULT(B84:E84,MMULT($B$3:$E$6,TRANSPOSE(B84:E84))))</f>
        <v>9.1914835922618385E-2</v>
      </c>
      <c r="I84" s="3">
        <f t="array" ref="I84">MMULT(B84:E84,TRANSPOSE($P$3:$S$3))</f>
        <v>0.10610000016565993</v>
      </c>
    </row>
    <row r="85" spans="1:9" x14ac:dyDescent="0.2">
      <c r="A85" s="3" t="s">
        <v>88</v>
      </c>
      <c r="B85" s="3">
        <v>0.25418792329108419</v>
      </c>
      <c r="C85" s="3">
        <v>0.31769198113902886</v>
      </c>
      <c r="D85" s="3">
        <v>0.18441571533490564</v>
      </c>
      <c r="E85" s="3">
        <v>0.24370438023498131</v>
      </c>
      <c r="F85" s="3">
        <f t="shared" si="2"/>
        <v>1</v>
      </c>
      <c r="G85" s="4">
        <f t="shared" si="3"/>
        <v>0.10680000000000038</v>
      </c>
      <c r="H85" s="3">
        <f t="array" ref="H85">SQRT(MMULT(B85:E85,MMULT($B$3:$E$6,TRANSPOSE(B85:E85))))</f>
        <v>9.2662283373092055E-2</v>
      </c>
      <c r="I85" s="3">
        <f t="array" ref="I85">MMULT(B85:E85,TRANSPOSE($P$3:$S$3))</f>
        <v>0.1068000001730342</v>
      </c>
    </row>
    <row r="86" spans="1:9" x14ac:dyDescent="0.2">
      <c r="A86" s="3" t="s">
        <v>89</v>
      </c>
      <c r="B86" s="3">
        <v>0.26088298204910332</v>
      </c>
      <c r="C86" s="3">
        <v>0.31969866837060379</v>
      </c>
      <c r="D86" s="3">
        <v>0.17454572984340605</v>
      </c>
      <c r="E86" s="3">
        <v>0.24487261973688704</v>
      </c>
      <c r="F86" s="3">
        <f t="shared" si="2"/>
        <v>1.0000000000000002</v>
      </c>
      <c r="G86" s="4">
        <f t="shared" si="3"/>
        <v>0.10750000000000039</v>
      </c>
      <c r="H86" s="3">
        <f t="array" ref="H86">SQRT(MMULT(B86:E86,MMULT($B$3:$E$6,TRANSPOSE(B86:E86))))</f>
        <v>9.3426904813423362E-2</v>
      </c>
      <c r="I86" s="3">
        <f t="array" ref="I86">MMULT(B86:E86,TRANSPOSE($P$3:$S$3))</f>
        <v>0.10750000018388405</v>
      </c>
    </row>
    <row r="87" spans="1:9" x14ac:dyDescent="0.2">
      <c r="A87" s="3" t="s">
        <v>90</v>
      </c>
      <c r="B87" s="3">
        <v>0.26757799142505911</v>
      </c>
      <c r="C87" s="3">
        <v>0.32170542366688526</v>
      </c>
      <c r="D87" s="3">
        <v>0.16467574836768259</v>
      </c>
      <c r="E87" s="3">
        <v>0.24604083654037298</v>
      </c>
      <c r="F87" s="3">
        <f t="shared" si="2"/>
        <v>1</v>
      </c>
      <c r="G87" s="4">
        <f t="shared" si="3"/>
        <v>0.10820000000000039</v>
      </c>
      <c r="H87" s="3">
        <f t="array" ref="H87">SQRT(MMULT(B87:E87,MMULT($B$3:$E$6,TRANSPOSE(B87:E87))))</f>
        <v>9.4208282073043062E-2</v>
      </c>
      <c r="I87" s="3">
        <f t="array" ref="I87">MMULT(B87:E87,TRANSPOSE($P$3:$S$3))</f>
        <v>0.10820000019399215</v>
      </c>
    </row>
    <row r="88" spans="1:9" x14ac:dyDescent="0.2">
      <c r="A88" s="3" t="s">
        <v>91</v>
      </c>
      <c r="B88" s="3">
        <v>0.27427299781230124</v>
      </c>
      <c r="C88" s="3">
        <v>0.32371218836661164</v>
      </c>
      <c r="D88" s="3">
        <v>0.15480576984141708</v>
      </c>
      <c r="E88" s="3">
        <v>0.24720904397967008</v>
      </c>
      <c r="F88" s="3">
        <f t="shared" si="2"/>
        <v>1.0000000000000002</v>
      </c>
      <c r="G88" s="4">
        <f t="shared" si="3"/>
        <v>0.1089000000000004</v>
      </c>
      <c r="H88" s="3">
        <f t="array" ref="H88">SQRT(MMULT(B88:E88,MMULT($B$3:$E$6,TRANSPOSE(B88:E88))))</f>
        <v>9.5006001727951789E-2</v>
      </c>
      <c r="I88" s="3">
        <f t="array" ref="I88">MMULT(B88:E88,TRANSPOSE($P$3:$S$3))</f>
        <v>0.10890000020343832</v>
      </c>
    </row>
    <row r="89" spans="1:9" x14ac:dyDescent="0.2">
      <c r="A89" s="3" t="s">
        <v>92</v>
      </c>
      <c r="B89" s="3">
        <v>0.28096802586356662</v>
      </c>
      <c r="C89" s="3">
        <v>0.32571891926195684</v>
      </c>
      <c r="D89" s="3">
        <v>0.14493578755988865</v>
      </c>
      <c r="E89" s="3">
        <v>0.24837726731458784</v>
      </c>
      <c r="F89" s="3">
        <f t="shared" si="2"/>
        <v>1</v>
      </c>
      <c r="G89" s="4">
        <f t="shared" si="3"/>
        <v>0.10960000000000041</v>
      </c>
      <c r="H89" s="3">
        <f t="array" ref="H89">SQRT(MMULT(B89:E89,MMULT($B$3:$E$6,TRANSPOSE(B89:E89))))</f>
        <v>9.5819655617119345E-2</v>
      </c>
      <c r="I89" s="3">
        <f t="array" ref="I89">MMULT(B89:E89,TRANSPOSE($P$3:$S$3))</f>
        <v>0.10960000021243062</v>
      </c>
    </row>
    <row r="90" spans="1:9" x14ac:dyDescent="0.2">
      <c r="A90" s="3" t="s">
        <v>93</v>
      </c>
      <c r="B90" s="3">
        <v>0.28766306839062145</v>
      </c>
      <c r="C90" s="3">
        <v>0.32772562785321374</v>
      </c>
      <c r="D90" s="3">
        <v>0.13506580291423131</v>
      </c>
      <c r="E90" s="3">
        <v>0.24954550084193347</v>
      </c>
      <c r="F90" s="3">
        <f t="shared" si="2"/>
        <v>1</v>
      </c>
      <c r="G90" s="4">
        <f t="shared" si="3"/>
        <v>0.11030000000000041</v>
      </c>
      <c r="H90" s="3">
        <f t="array" ref="H90">SQRT(MMULT(B90:E90,MMULT($B$3:$E$6,TRANSPOSE(B90:E90))))</f>
        <v>9.6648841306716346E-2</v>
      </c>
      <c r="I90" s="3">
        <f t="array" ref="I90">MMULT(B90:E90,TRANSPOSE($P$3:$S$3))</f>
        <v>0.11030000022109837</v>
      </c>
    </row>
    <row r="91" spans="1:9" x14ac:dyDescent="0.2">
      <c r="A91" s="3" t="s">
        <v>94</v>
      </c>
      <c r="B91" s="3">
        <v>0.29435810227208425</v>
      </c>
      <c r="C91" s="3">
        <v>0.32973238501990504</v>
      </c>
      <c r="D91" s="3">
        <v>0.12519583765825459</v>
      </c>
      <c r="E91" s="3">
        <v>0.25071367504975617</v>
      </c>
      <c r="F91" s="3">
        <f t="shared" si="2"/>
        <v>1</v>
      </c>
      <c r="G91" s="4">
        <f t="shared" si="3"/>
        <v>0.11100000000000042</v>
      </c>
      <c r="H91" s="3">
        <f t="array" ref="H91">SQRT(MMULT(B91:E91,MMULT($B$3:$E$6,TRANSPOSE(B91:E91))))</f>
        <v>9.7493162500704042E-2</v>
      </c>
      <c r="I91" s="3">
        <f t="array" ref="I91">MMULT(B91:E91,TRANSPOSE($P$3:$S$3))</f>
        <v>0.11100000022952614</v>
      </c>
    </row>
    <row r="92" spans="1:9" x14ac:dyDescent="0.2">
      <c r="A92" s="3" t="s">
        <v>95</v>
      </c>
      <c r="B92" s="3">
        <v>0.30105311617454605</v>
      </c>
      <c r="C92" s="3">
        <v>0.33173911203144563</v>
      </c>
      <c r="D92" s="3">
        <v>0.11532584461975182</v>
      </c>
      <c r="E92" s="3">
        <v>0.25188192717425645</v>
      </c>
      <c r="F92" s="3">
        <f t="shared" si="2"/>
        <v>1</v>
      </c>
      <c r="G92" s="4">
        <f t="shared" si="3"/>
        <v>0.11170000000000042</v>
      </c>
      <c r="H92" s="3">
        <f t="array" ref="H92">SQRT(MMULT(B92:E92,MMULT($B$3:$E$6,TRANSPOSE(B92:E92))))</f>
        <v>9.8352229400077096E-2</v>
      </c>
      <c r="I92" s="3">
        <f t="array" ref="I92">MMULT(B92:E92,TRANSPOSE($P$3:$S$3))</f>
        <v>0.11170000023777117</v>
      </c>
    </row>
    <row r="93" spans="1:9" x14ac:dyDescent="0.2">
      <c r="A93" s="3" t="s">
        <v>96</v>
      </c>
      <c r="B93" s="3">
        <v>0.30774816947914818</v>
      </c>
      <c r="C93" s="3">
        <v>0.33374580677325727</v>
      </c>
      <c r="D93" s="3">
        <v>0.10545585962579883</v>
      </c>
      <c r="E93" s="3">
        <v>0.25305016412179565</v>
      </c>
      <c r="F93" s="3">
        <f t="shared" si="2"/>
        <v>1</v>
      </c>
      <c r="G93" s="4">
        <f t="shared" si="3"/>
        <v>0.11240000000000043</v>
      </c>
      <c r="H93" s="3">
        <f t="array" ref="H93">SQRT(MMULT(B93:E93,MMULT($B$3:$E$6,TRANSPOSE(B93:E93))))</f>
        <v>9.922565901352394E-2</v>
      </c>
      <c r="I93" s="3">
        <f t="array" ref="I93">MMULT(B93:E93,TRANSPOSE($P$3:$S$3))</f>
        <v>0.1124000002458739</v>
      </c>
    </row>
    <row r="94" spans="1:9" x14ac:dyDescent="0.2">
      <c r="A94" s="3" t="s">
        <v>97</v>
      </c>
      <c r="B94" s="3">
        <v>0.31444319345215155</v>
      </c>
      <c r="C94" s="3">
        <v>0.33575254411826749</v>
      </c>
      <c r="D94" s="3">
        <v>9.5585877672969416E-2</v>
      </c>
      <c r="E94" s="3">
        <v>0.25421838475661157</v>
      </c>
      <c r="F94" s="3">
        <f t="shared" si="2"/>
        <v>1</v>
      </c>
      <c r="G94" s="4">
        <f t="shared" si="3"/>
        <v>0.11310000000000044</v>
      </c>
      <c r="H94" s="3">
        <f t="array" ref="H94">SQRT(MMULT(B94:E94,MMULT($B$3:$E$6,TRANSPOSE(B94:E94))))</f>
        <v>0.10011307544871713</v>
      </c>
      <c r="I94" s="3">
        <f t="array" ref="I94">MMULT(B94:E94,TRANSPOSE($P$3:$S$3))</f>
        <v>0.11310000027457703</v>
      </c>
    </row>
    <row r="95" spans="1:9" x14ac:dyDescent="0.2">
      <c r="A95" s="3" t="s">
        <v>98</v>
      </c>
      <c r="B95" s="3">
        <v>0.32113820166685519</v>
      </c>
      <c r="C95" s="3">
        <v>0.33775930343246696</v>
      </c>
      <c r="D95" s="3">
        <v>8.5715898016311257E-2</v>
      </c>
      <c r="E95" s="3">
        <v>0.25538659688436666</v>
      </c>
      <c r="F95" s="3">
        <f t="shared" si="2"/>
        <v>1.0000000000000002</v>
      </c>
      <c r="G95" s="4">
        <f t="shared" si="3"/>
        <v>0.11380000000000044</v>
      </c>
      <c r="H95" s="3">
        <f t="array" ref="H95">SQRT(MMULT(B95:E95,MMULT($B$3:$E$6,TRANSPOSE(B95:E95))))</f>
        <v>0.10101411000187531</v>
      </c>
      <c r="I95" s="3">
        <f t="array" ref="I95">MMULT(B95:E95,TRANSPOSE($P$3:$S$3))</f>
        <v>0.11380000026176312</v>
      </c>
    </row>
    <row r="96" spans="1:9" x14ac:dyDescent="0.2">
      <c r="A96" s="3" t="s">
        <v>99</v>
      </c>
      <c r="B96" s="3">
        <v>0.32783317977810322</v>
      </c>
      <c r="C96" s="3">
        <v>0.33976610100135562</v>
      </c>
      <c r="D96" s="3">
        <v>7.5845918703903226E-2</v>
      </c>
      <c r="E96" s="3">
        <v>0.25655480051663798</v>
      </c>
      <c r="F96" s="3">
        <f t="shared" si="2"/>
        <v>1</v>
      </c>
      <c r="G96" s="4">
        <f t="shared" si="3"/>
        <v>0.11450000000000045</v>
      </c>
      <c r="H96" s="3">
        <f t="array" ref="H96">SQRT(MMULT(B96:E96,MMULT($B$3:$E$6,TRANSPOSE(B96:E96))))</f>
        <v>0.10192840160415331</v>
      </c>
      <c r="I96" s="3">
        <f t="array" ref="I96">MMULT(B96:E96,TRANSPOSE($P$3:$S$3))</f>
        <v>0.11450000026958781</v>
      </c>
    </row>
    <row r="97" spans="1:9" x14ac:dyDescent="0.2">
      <c r="A97" s="3" t="s">
        <v>100</v>
      </c>
      <c r="B97" s="3">
        <v>0.33452851271187117</v>
      </c>
      <c r="C97" s="3">
        <v>0.34177249249250097</v>
      </c>
      <c r="D97" s="3">
        <v>6.5975952538068663E-2</v>
      </c>
      <c r="E97" s="3">
        <v>0.25772304225755932</v>
      </c>
      <c r="F97" s="3">
        <f t="shared" si="2"/>
        <v>1</v>
      </c>
      <c r="G97" s="4">
        <f t="shared" si="3"/>
        <v>0.11520000000000045</v>
      </c>
      <c r="H97" s="3">
        <f t="array" ref="H97">SQRT(MMULT(B97:E97,MMULT($B$3:$E$6,TRANSPOSE(B97:E97))))</f>
        <v>0.10285559672693818</v>
      </c>
      <c r="I97" s="3">
        <f t="array" ref="I97">MMULT(B97:E97,TRANSPOSE($P$3:$S$3))</f>
        <v>0.11520000029642517</v>
      </c>
    </row>
    <row r="98" spans="1:9" x14ac:dyDescent="0.2">
      <c r="A98" s="3" t="s">
        <v>101</v>
      </c>
      <c r="B98" s="3">
        <v>0.34122356051086211</v>
      </c>
      <c r="C98" s="3">
        <v>0.34377920734290168</v>
      </c>
      <c r="D98" s="3">
        <v>5.6105974789897414E-2</v>
      </c>
      <c r="E98" s="3">
        <v>0.25889125735633889</v>
      </c>
      <c r="F98" s="3">
        <f t="shared" si="2"/>
        <v>1</v>
      </c>
      <c r="G98" s="4">
        <f t="shared" si="3"/>
        <v>0.11590000000000046</v>
      </c>
      <c r="H98" s="3">
        <f t="array" ref="H98">SQRT(MMULT(B98:E98,MMULT($B$3:$E$6,TRANSPOSE(B98:E98))))</f>
        <v>0.10379534949701662</v>
      </c>
      <c r="I98" s="3">
        <f t="array" ref="I98">MMULT(B98:E98,TRANSPOSE($P$3:$S$3))</f>
        <v>0.11590000028506045</v>
      </c>
    </row>
    <row r="99" spans="1:9" x14ac:dyDescent="0.2">
      <c r="A99" s="3" t="s">
        <v>102</v>
      </c>
      <c r="B99" s="3">
        <v>0.34791860184496659</v>
      </c>
      <c r="C99" s="3">
        <v>0.34578592537257996</v>
      </c>
      <c r="D99" s="3">
        <v>4.6235994234884135E-2</v>
      </c>
      <c r="E99" s="3">
        <v>0.26005947854756939</v>
      </c>
      <c r="F99" s="3">
        <f t="shared" si="2"/>
        <v>1</v>
      </c>
      <c r="G99" s="4">
        <f t="shared" si="3"/>
        <v>0.11660000000000047</v>
      </c>
      <c r="H99" s="3">
        <f t="array" ref="H99">SQRT(MMULT(B99:E99,MMULT($B$3:$E$6,TRANSPOSE(B99:E99))))</f>
        <v>0.10474732200269704</v>
      </c>
      <c r="I99" s="3">
        <f t="array" ref="I99">MMULT(B99:E99,TRANSPOSE($P$3:$S$3))</f>
        <v>0.11660000029272757</v>
      </c>
    </row>
    <row r="100" spans="1:9" x14ac:dyDescent="0.2">
      <c r="A100" s="3" t="s">
        <v>103</v>
      </c>
      <c r="B100" s="3">
        <v>0.35461336042353264</v>
      </c>
      <c r="C100" s="3">
        <v>0.34779293587123633</v>
      </c>
      <c r="D100" s="3">
        <v>3.6365986626100077E-2</v>
      </c>
      <c r="E100" s="3">
        <v>0.26122771707913112</v>
      </c>
      <c r="F100" s="3">
        <f t="shared" si="2"/>
        <v>1.0000000000000002</v>
      </c>
      <c r="G100" s="4">
        <f t="shared" si="3"/>
        <v>0.11730000000000047</v>
      </c>
      <c r="H100" s="3">
        <f t="array" ref="H100">SQRT(MMULT(B100:E100,MMULT($B$3:$E$6,TRANSPOSE(B100:E100))))</f>
        <v>0.10571118411340145</v>
      </c>
      <c r="I100" s="3">
        <f t="array" ref="I100">MMULT(B100:E100,TRANSPOSE($P$3:$S$3))</f>
        <v>0.11730000031827477</v>
      </c>
    </row>
    <row r="101" spans="1:9" x14ac:dyDescent="0.2">
      <c r="A101" s="3" t="s">
        <v>104</v>
      </c>
      <c r="B101" s="3">
        <v>0.36130844458018185</v>
      </c>
      <c r="C101" s="3">
        <v>0.34979959317780568</v>
      </c>
      <c r="D101" s="3">
        <v>2.6496002123136051E-2</v>
      </c>
      <c r="E101" s="3">
        <v>0.26239596011887645</v>
      </c>
      <c r="F101" s="3">
        <f t="shared" si="2"/>
        <v>1</v>
      </c>
      <c r="G101" s="4">
        <f t="shared" si="3"/>
        <v>0.11800000000000048</v>
      </c>
      <c r="H101" s="3">
        <f t="array" ref="H101">SQRT(MMULT(B101:E101,MMULT($B$3:$E$6,TRANSPOSE(B101:E101))))</f>
        <v>0.10668661350528562</v>
      </c>
      <c r="I101" s="3">
        <f t="array" ref="I101">MMULT(B101:E101,TRANSPOSE($P$3:$S$3))</f>
        <v>0.11800000030795542</v>
      </c>
    </row>
    <row r="102" spans="1:9" x14ac:dyDescent="0.2">
      <c r="A102" s="3" t="s">
        <v>105</v>
      </c>
      <c r="B102" s="3">
        <v>0.36800342619250243</v>
      </c>
      <c r="C102" s="3">
        <v>0.35180638431319416</v>
      </c>
      <c r="D102" s="3">
        <v>1.6626021713136444E-2</v>
      </c>
      <c r="E102" s="3">
        <v>0.26356416778116698</v>
      </c>
      <c r="F102" s="3">
        <f t="shared" si="2"/>
        <v>1</v>
      </c>
      <c r="G102" s="4">
        <f t="shared" si="3"/>
        <v>0.11870000000000049</v>
      </c>
      <c r="H102" s="3">
        <f t="array" ref="H102">SQRT(MMULT(B102:E102,MMULT($B$3:$E$6,TRANSPOSE(B102:E102))))</f>
        <v>0.1076732958824453</v>
      </c>
      <c r="I102" s="3">
        <f t="array" ref="I102">MMULT(B102:E102,TRANSPOSE($P$3:$S$3))</f>
        <v>0.11870000031552519</v>
      </c>
    </row>
    <row r="103" spans="1:9" x14ac:dyDescent="0.2">
      <c r="A103" s="3" t="s">
        <v>106</v>
      </c>
      <c r="B103" s="3">
        <v>0.37469863212530496</v>
      </c>
      <c r="C103" s="3">
        <v>0.35381287560050134</v>
      </c>
      <c r="D103" s="3">
        <v>6.7560275275349458E-3</v>
      </c>
      <c r="E103" s="3">
        <v>0.26473246474665896</v>
      </c>
      <c r="F103" s="3">
        <f t="shared" si="2"/>
        <v>1.0000000000000002</v>
      </c>
      <c r="G103" s="4">
        <f t="shared" si="3"/>
        <v>0.11940000000000049</v>
      </c>
      <c r="H103" s="3">
        <f t="array" ref="H103">SQRT(MMULT(B103:E103,MMULT($B$3:$E$6,TRANSPOSE(B103:E103))))</f>
        <v>0.10867092472968651</v>
      </c>
      <c r="I103" s="3">
        <f t="array" ref="I103">MMULT(B103:E103,TRANSPOSE($P$3:$S$3))</f>
        <v>0.11940000034012285</v>
      </c>
    </row>
    <row r="104" spans="1:9" x14ac:dyDescent="0.2">
      <c r="A104" s="3" t="s">
        <v>107</v>
      </c>
      <c r="B104" s="3">
        <v>0.38697876032241274</v>
      </c>
      <c r="C104" s="3">
        <v>0.35511874074556199</v>
      </c>
      <c r="D104" s="3">
        <v>0</v>
      </c>
      <c r="E104" s="3">
        <v>0.25790249893202533</v>
      </c>
      <c r="F104" s="3">
        <f t="shared" si="2"/>
        <v>1</v>
      </c>
      <c r="G104" s="4">
        <f t="shared" si="3"/>
        <v>0.1201000000000005</v>
      </c>
      <c r="H104" s="3">
        <f t="array" ref="H104">SQRT(MMULT(B104:E104,MMULT($B$3:$E$6,TRANSPOSE(B104:E104))))</f>
        <v>0.10969371830143319</v>
      </c>
      <c r="I104" s="3">
        <f t="array" ref="I104">MMULT(B104:E104,TRANSPOSE($P$3:$S$3))</f>
        <v>0.12010000032898754</v>
      </c>
    </row>
    <row r="105" spans="1:9" x14ac:dyDescent="0.2">
      <c r="A105" s="3" t="s">
        <v>108</v>
      </c>
      <c r="B105" s="3">
        <v>0.41137601729153195</v>
      </c>
      <c r="C105" s="3">
        <v>0.35490436420586208</v>
      </c>
      <c r="D105" s="3">
        <v>0</v>
      </c>
      <c r="E105" s="3">
        <v>0.23371961850260589</v>
      </c>
      <c r="F105" s="3">
        <f t="shared" si="2"/>
        <v>0.99999999999999989</v>
      </c>
      <c r="G105" s="4">
        <f t="shared" si="3"/>
        <v>0.1208000000000005</v>
      </c>
      <c r="H105" s="3">
        <f t="array" ref="H105">SQRT(MMULT(B105:E105,MMULT($B$3:$E$6,TRANSPOSE(B105:E105))))</f>
        <v>0.11094763308721609</v>
      </c>
      <c r="I105" s="3">
        <f t="array" ref="I105">MMULT(B105:E105,TRANSPOSE($P$3:$S$3))</f>
        <v>0.12080000033140419</v>
      </c>
    </row>
    <row r="106" spans="1:9" x14ac:dyDescent="0.2">
      <c r="A106" s="3" t="s">
        <v>109</v>
      </c>
      <c r="B106" s="3">
        <v>0.43577327438184499</v>
      </c>
      <c r="C106" s="3">
        <v>0.35468998751762792</v>
      </c>
      <c r="D106" s="3">
        <v>0</v>
      </c>
      <c r="E106" s="3">
        <v>0.209536738100527</v>
      </c>
      <c r="F106" s="3">
        <f t="shared" si="2"/>
        <v>0.99999999999999989</v>
      </c>
      <c r="G106" s="4">
        <f>G105+0.0007</f>
        <v>0.12150000000000051</v>
      </c>
      <c r="H106" s="3">
        <f t="array" ref="H106">SQRT(MMULT(B106:E106,MMULT($B$3:$E$6,TRANSPOSE(B106:E106))))</f>
        <v>0.11249158550318093</v>
      </c>
      <c r="I106" s="3">
        <f t="array" ref="I106">MMULT(B106:E106,TRANSPOSE($P$3:$S$3))</f>
        <v>0.12150000033380309</v>
      </c>
    </row>
    <row r="107" spans="1:9" x14ac:dyDescent="0.2">
      <c r="A107" s="3" t="s">
        <v>110</v>
      </c>
      <c r="B107" s="3">
        <v>0.46017053138030262</v>
      </c>
      <c r="C107" s="3">
        <v>0.35447561094077445</v>
      </c>
      <c r="D107" s="3">
        <v>0</v>
      </c>
      <c r="E107" s="3">
        <v>0.18535385767892307</v>
      </c>
      <c r="F107" s="3">
        <f t="shared" si="2"/>
        <v>1.0000000000000002</v>
      </c>
      <c r="G107" s="4">
        <f t="shared" ref="G107:G108" si="4">G106+0.0007</f>
        <v>0.12220000000000052</v>
      </c>
      <c r="H107" s="3">
        <f t="array" ref="H107">SQRT(MMULT(B107:E107,MMULT($B$3:$E$6,TRANSPOSE(B107:E107))))</f>
        <v>0.11431382418099147</v>
      </c>
      <c r="I107" s="3">
        <f t="array" ref="I107">MMULT(B107:E107,TRANSPOSE($P$3:$S$3))</f>
        <v>0.12220000033618711</v>
      </c>
    </row>
    <row r="108" spans="1:9" x14ac:dyDescent="0.2">
      <c r="A108" s="3" t="s">
        <v>111</v>
      </c>
      <c r="B108" s="3">
        <v>0.4845677883799514</v>
      </c>
      <c r="C108" s="3">
        <v>0.35426123436190515</v>
      </c>
      <c r="D108" s="3">
        <v>0</v>
      </c>
      <c r="E108" s="3">
        <v>0.16117097725814353</v>
      </c>
      <c r="F108" s="3">
        <f t="shared" si="2"/>
        <v>1</v>
      </c>
      <c r="G108" s="4">
        <f t="shared" si="4"/>
        <v>0.12290000000000052</v>
      </c>
      <c r="H108" s="3">
        <f t="array" ref="H108">SQRT(MMULT(B108:E108,MMULT($B$3:$E$6,TRANSPOSE(B108:E108))))</f>
        <v>0.11640128030757133</v>
      </c>
      <c r="I108" s="3">
        <f t="array" ref="I108">MMULT(B108:E108,TRANSPOSE($P$3:$S$3))</f>
        <v>0.12290000033855776</v>
      </c>
    </row>
    <row r="109" spans="1:9" x14ac:dyDescent="0.2">
      <c r="A109" s="3" t="s">
        <v>112</v>
      </c>
      <c r="B109" s="3">
        <v>0.50896754352534923</v>
      </c>
      <c r="C109" s="3">
        <v>0.35404683584649438</v>
      </c>
      <c r="D109" s="3">
        <v>0</v>
      </c>
      <c r="E109" s="3">
        <v>0.13698562062815667</v>
      </c>
      <c r="F109" s="3">
        <f t="shared" si="2"/>
        <v>1.0000000000000004</v>
      </c>
      <c r="G109" s="4">
        <f>G108+0.0007</f>
        <v>0.12360000000000053</v>
      </c>
      <c r="H109" s="3">
        <f t="array" ref="H109">SQRT(MMULT(B109:E109,MMULT($B$3:$E$6,TRANSPOSE(B109:E109))))</f>
        <v>0.11874021892863557</v>
      </c>
      <c r="I109" s="3">
        <f t="array" ref="I109">MMULT(B109:E109,TRANSPOSE($P$3:$S$3))</f>
        <v>0.12360007201744454</v>
      </c>
    </row>
    <row r="110" spans="1:9" x14ac:dyDescent="0.2">
      <c r="A110" s="3" t="s">
        <v>113</v>
      </c>
      <c r="B110" s="3">
        <v>0.53336230180019872</v>
      </c>
      <c r="C110" s="3">
        <v>0.35383248134542894</v>
      </c>
      <c r="D110" s="3">
        <v>0</v>
      </c>
      <c r="E110" s="3">
        <v>0.1128052168543726</v>
      </c>
      <c r="F110" s="3">
        <f t="shared" si="2"/>
        <v>1.0000000000000002</v>
      </c>
      <c r="G110" s="4">
        <f t="shared" ref="G110" si="5">G109+0.0007</f>
        <v>0.12430000000000054</v>
      </c>
      <c r="H110" s="3">
        <f t="array" ref="H110">SQRT(MMULT(B110:E110,MMULT($B$3:$E$6,TRANSPOSE(B110:E110))))</f>
        <v>0.12131535585816666</v>
      </c>
      <c r="I110" s="3">
        <f t="array" ref="I110">MMULT(B110:E110,TRANSPOSE($P$3:$S$3))</f>
        <v>0.12430000032991244</v>
      </c>
    </row>
  </sheetData>
  <mergeCells count="6">
    <mergeCell ref="A9:I9"/>
    <mergeCell ref="A1:E1"/>
    <mergeCell ref="H1:M1"/>
    <mergeCell ref="I4:M4"/>
    <mergeCell ref="I5:M5"/>
    <mergeCell ref="I6:M6"/>
  </mergeCells>
  <phoneticPr fontId="2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V124"/>
  <sheetViews>
    <sheetView zoomScale="67" workbookViewId="0">
      <selection activeCell="Q45" sqref="Q45"/>
    </sheetView>
  </sheetViews>
  <sheetFormatPr baseColWidth="10" defaultRowHeight="16" x14ac:dyDescent="0.2"/>
  <cols>
    <col min="1" max="6" width="10.83203125" style="2"/>
    <col min="7" max="7" width="10.5" style="2" customWidth="1"/>
    <col min="8" max="8" width="17.33203125" style="2" bestFit="1" customWidth="1"/>
    <col min="9" max="9" width="20.83203125" style="2" customWidth="1"/>
    <col min="10" max="10" width="12.5" style="2" bestFit="1" customWidth="1"/>
    <col min="11" max="11" width="10.83203125" style="2"/>
    <col min="12" max="12" width="12.5" style="2" bestFit="1" customWidth="1"/>
    <col min="13" max="13" width="18" style="2" bestFit="1" customWidth="1"/>
    <col min="14" max="14" width="16.1640625" style="2" bestFit="1" customWidth="1"/>
    <col min="15" max="16384" width="10.83203125" style="2"/>
  </cols>
  <sheetData>
    <row r="1" spans="1:22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N1" s="5">
        <f>I15</f>
        <v>0.2431743373235902</v>
      </c>
    </row>
    <row r="2" spans="1:22" x14ac:dyDescent="0.2">
      <c r="A2" s="4" t="s">
        <v>3</v>
      </c>
      <c r="B2" s="4">
        <v>0.12939999999999999</v>
      </c>
      <c r="C2" s="4">
        <v>0.15210000000000001</v>
      </c>
      <c r="D2" s="4">
        <v>1</v>
      </c>
      <c r="E2" s="4">
        <v>0.62</v>
      </c>
      <c r="F2" s="4">
        <v>0.25</v>
      </c>
      <c r="G2" s="15">
        <v>0.56000000000000005</v>
      </c>
      <c r="H2" s="4">
        <v>-0.02</v>
      </c>
      <c r="N2" s="5">
        <f>J15</f>
        <v>0.30866528603346316</v>
      </c>
    </row>
    <row r="3" spans="1:22" x14ac:dyDescent="0.2">
      <c r="A3" s="4" t="s">
        <v>4</v>
      </c>
      <c r="B3" s="4">
        <v>0.1242</v>
      </c>
      <c r="C3" s="4">
        <v>0.1444</v>
      </c>
      <c r="D3" s="4">
        <v>0.62</v>
      </c>
      <c r="E3" s="4">
        <v>1</v>
      </c>
      <c r="F3" s="4">
        <v>0.06</v>
      </c>
      <c r="G3" s="15">
        <v>0.4</v>
      </c>
      <c r="H3" s="4">
        <v>0.01</v>
      </c>
      <c r="N3" s="5">
        <f>K15</f>
        <v>0.10828462784186825</v>
      </c>
    </row>
    <row r="4" spans="1:22" x14ac:dyDescent="0.2">
      <c r="A4" s="4" t="s">
        <v>5</v>
      </c>
      <c r="B4" s="4">
        <v>5.3999999999999999E-2</v>
      </c>
      <c r="C4" s="4">
        <v>0.111</v>
      </c>
      <c r="D4" s="4">
        <v>0.25</v>
      </c>
      <c r="E4" s="4">
        <v>0.06</v>
      </c>
      <c r="F4" s="4">
        <v>1</v>
      </c>
      <c r="G4" s="4">
        <v>0.16</v>
      </c>
      <c r="H4" s="4">
        <v>-7.0000000000000007E-2</v>
      </c>
      <c r="N4" s="5">
        <f>L15</f>
        <v>9.9146141117296097E-2</v>
      </c>
      <c r="P4" s="1">
        <v>0</v>
      </c>
      <c r="Q4" s="1">
        <v>3.2000000000000001E-2</v>
      </c>
    </row>
    <row r="5" spans="1:22" x14ac:dyDescent="0.2">
      <c r="A5" s="4" t="s">
        <v>6</v>
      </c>
      <c r="B5" s="4">
        <v>9.4399999999999998E-2</v>
      </c>
      <c r="C5" s="4">
        <v>0.13539999999999999</v>
      </c>
      <c r="D5" s="4">
        <v>0.56000000000000005</v>
      </c>
      <c r="E5" s="4">
        <v>0.4</v>
      </c>
      <c r="F5" s="4">
        <v>0.16</v>
      </c>
      <c r="G5" s="4">
        <v>1</v>
      </c>
      <c r="H5" s="4">
        <v>-0.01</v>
      </c>
      <c r="N5" s="5">
        <f>M15</f>
        <v>0.24072960768378213</v>
      </c>
      <c r="P5" s="1">
        <v>9.461616908615883E-2</v>
      </c>
      <c r="Q5" s="1">
        <v>0.10920307897218243</v>
      </c>
    </row>
    <row r="6" spans="1:22" x14ac:dyDescent="0.2">
      <c r="A6" s="4" t="s">
        <v>7</v>
      </c>
      <c r="B6" s="4">
        <v>0.10050000000000001</v>
      </c>
      <c r="C6" s="4">
        <v>0.18429999999999999</v>
      </c>
      <c r="D6" s="4">
        <v>-0.02</v>
      </c>
      <c r="E6" s="15">
        <v>0.01</v>
      </c>
      <c r="F6" s="4">
        <v>-7.0000000000000007E-2</v>
      </c>
      <c r="G6" s="4">
        <v>-0.01</v>
      </c>
      <c r="H6" s="4">
        <v>1</v>
      </c>
    </row>
    <row r="9" spans="1:22" x14ac:dyDescent="0.2">
      <c r="A9" s="4" t="s">
        <v>2</v>
      </c>
      <c r="B9" s="4">
        <v>0.15210000000000001</v>
      </c>
      <c r="C9" s="4">
        <v>0.1444</v>
      </c>
      <c r="D9" s="4">
        <v>0.111</v>
      </c>
      <c r="E9" s="4">
        <v>0.13539999999999999</v>
      </c>
      <c r="F9" s="4">
        <v>0.18429999999999999</v>
      </c>
    </row>
    <row r="10" spans="1:22" x14ac:dyDescent="0.2">
      <c r="A10" s="4" t="s">
        <v>1</v>
      </c>
      <c r="B10" s="4">
        <v>0.12939999999999999</v>
      </c>
      <c r="C10" s="4">
        <v>0.1242</v>
      </c>
      <c r="D10" s="4">
        <v>5.3999999999999999E-2</v>
      </c>
      <c r="E10" s="4">
        <v>9.4399999999999998E-2</v>
      </c>
      <c r="F10" s="4">
        <v>0.10050000000000001</v>
      </c>
      <c r="R10" s="1"/>
      <c r="S10" s="1"/>
      <c r="T10" s="1"/>
      <c r="U10" s="1"/>
      <c r="V10" s="1"/>
    </row>
    <row r="11" spans="1:22" x14ac:dyDescent="0.2">
      <c r="H11" s="3" t="s">
        <v>12</v>
      </c>
      <c r="I11" s="3">
        <v>3.2000000000000001E-2</v>
      </c>
      <c r="R11" s="1"/>
      <c r="S11" s="1"/>
      <c r="T11" s="1"/>
      <c r="U11" s="1"/>
      <c r="V11" s="1"/>
    </row>
    <row r="12" spans="1:22" x14ac:dyDescent="0.2">
      <c r="A12" s="20" t="s">
        <v>116</v>
      </c>
      <c r="B12" s="20"/>
      <c r="C12" s="20"/>
      <c r="D12" s="20"/>
      <c r="E12" s="20"/>
      <c r="F12" s="20"/>
    </row>
    <row r="13" spans="1:22" x14ac:dyDescent="0.2">
      <c r="A13" s="3" t="s">
        <v>11</v>
      </c>
      <c r="B13" s="4" t="s">
        <v>3</v>
      </c>
      <c r="C13" s="4" t="s">
        <v>4</v>
      </c>
      <c r="D13" s="4" t="s">
        <v>5</v>
      </c>
      <c r="E13" s="4" t="s">
        <v>6</v>
      </c>
      <c r="F13" s="4" t="s">
        <v>7</v>
      </c>
      <c r="H13" s="21" t="s">
        <v>119</v>
      </c>
      <c r="I13" s="22"/>
      <c r="J13" s="22"/>
      <c r="K13" s="22"/>
      <c r="L13" s="22"/>
      <c r="M13" s="22"/>
      <c r="N13" s="23"/>
    </row>
    <row r="14" spans="1:22" x14ac:dyDescent="0.2">
      <c r="A14" s="4" t="s">
        <v>3</v>
      </c>
      <c r="B14" s="3">
        <f>D2*$C2*B$9</f>
        <v>2.3134410000000005E-2</v>
      </c>
      <c r="C14" s="3">
        <f>E2*$C2*$C$9</f>
        <v>1.3617208800000002E-2</v>
      </c>
      <c r="D14" s="3">
        <f>F2*$C2*$D$9</f>
        <v>4.2207750000000004E-3</v>
      </c>
      <c r="E14" s="3">
        <f>G2*$C2*$E$9</f>
        <v>1.1532830400000001E-2</v>
      </c>
      <c r="F14" s="3">
        <f>H2*$C2*$F$9</f>
        <v>-5.6064060000000004E-4</v>
      </c>
      <c r="H14" s="3" t="s">
        <v>117</v>
      </c>
      <c r="I14" s="3" t="s">
        <v>3</v>
      </c>
      <c r="J14" s="3" t="s">
        <v>4</v>
      </c>
      <c r="K14" s="3" t="s">
        <v>5</v>
      </c>
      <c r="L14" s="3" t="s">
        <v>6</v>
      </c>
      <c r="M14" s="3" t="s">
        <v>7</v>
      </c>
      <c r="N14" s="3" t="s">
        <v>13</v>
      </c>
    </row>
    <row r="15" spans="1:22" x14ac:dyDescent="0.2">
      <c r="A15" s="4" t="s">
        <v>4</v>
      </c>
      <c r="B15" s="3">
        <f t="shared" ref="B15:B18" si="0">D3*$C3*B$9</f>
        <v>1.3617208800000001E-2</v>
      </c>
      <c r="C15" s="3">
        <f t="shared" ref="C15:C18" si="1">E3*$C3*$C$9</f>
        <v>2.0851359999999999E-2</v>
      </c>
      <c r="D15" s="3">
        <f t="shared" ref="D15:D18" si="2">F3*$C3*$D$9</f>
        <v>9.6170399999999997E-4</v>
      </c>
      <c r="E15" s="3">
        <f t="shared" ref="E15:E18" si="3">G3*$C3*$E$9</f>
        <v>7.8207039999999995E-3</v>
      </c>
      <c r="F15" s="3">
        <f t="shared" ref="F15:F18" si="4">H3*$C3*$F$9</f>
        <v>2.661292E-4</v>
      </c>
      <c r="H15" s="3" t="s">
        <v>118</v>
      </c>
      <c r="I15" s="3">
        <v>0.2431743373235902</v>
      </c>
      <c r="J15" s="3">
        <v>0.30866528603346316</v>
      </c>
      <c r="K15" s="3">
        <v>0.10828462784186825</v>
      </c>
      <c r="L15" s="3">
        <v>9.9146141117296097E-2</v>
      </c>
      <c r="M15" s="3">
        <v>0.24072960768378213</v>
      </c>
      <c r="N15" s="3">
        <f>SUM(I15:M15)</f>
        <v>0.99999999999999989</v>
      </c>
    </row>
    <row r="16" spans="1:22" x14ac:dyDescent="0.2">
      <c r="A16" s="4" t="s">
        <v>5</v>
      </c>
      <c r="B16" s="3">
        <f t="shared" si="0"/>
        <v>4.2207750000000004E-3</v>
      </c>
      <c r="C16" s="3">
        <f t="shared" si="1"/>
        <v>9.6170400000000007E-4</v>
      </c>
      <c r="D16" s="3">
        <f t="shared" si="2"/>
        <v>1.2321E-2</v>
      </c>
      <c r="E16" s="3">
        <f t="shared" si="3"/>
        <v>2.4047040000000001E-3</v>
      </c>
      <c r="F16" s="3">
        <f t="shared" si="4"/>
        <v>-1.4320110000000002E-3</v>
      </c>
      <c r="H16" s="3" t="s">
        <v>8</v>
      </c>
      <c r="I16" s="21">
        <f>MMULT(I15:M15,B2:B6)</f>
        <v>0.10920307897218243</v>
      </c>
      <c r="J16" s="22"/>
      <c r="K16" s="22"/>
      <c r="L16" s="22"/>
      <c r="M16" s="22"/>
      <c r="N16" s="23"/>
    </row>
    <row r="17" spans="1:15" x14ac:dyDescent="0.2">
      <c r="A17" s="4" t="s">
        <v>6</v>
      </c>
      <c r="B17" s="3">
        <f t="shared" si="0"/>
        <v>1.1532830400000001E-2</v>
      </c>
      <c r="C17" s="3">
        <f t="shared" si="1"/>
        <v>7.8207039999999995E-3</v>
      </c>
      <c r="D17" s="3">
        <f t="shared" si="2"/>
        <v>2.4047040000000001E-3</v>
      </c>
      <c r="E17" s="3">
        <f t="shared" si="3"/>
        <v>1.8333159999999998E-2</v>
      </c>
      <c r="F17" s="3">
        <f t="shared" si="4"/>
        <v>-2.4954219999999996E-4</v>
      </c>
      <c r="H17" s="3" t="s">
        <v>9</v>
      </c>
      <c r="I17" s="21">
        <f>SQRT(MMULT(MMULT(I15:M15,B14:F18),N1:N5))</f>
        <v>9.461616908615883E-2</v>
      </c>
      <c r="J17" s="22"/>
      <c r="K17" s="22"/>
      <c r="L17" s="22"/>
      <c r="M17" s="22"/>
      <c r="N17" s="23"/>
    </row>
    <row r="18" spans="1:15" x14ac:dyDescent="0.2">
      <c r="A18" s="4" t="s">
        <v>7</v>
      </c>
      <c r="B18" s="3">
        <f t="shared" si="0"/>
        <v>-5.6064060000000004E-4</v>
      </c>
      <c r="C18" s="3">
        <f t="shared" si="1"/>
        <v>2.661292E-4</v>
      </c>
      <c r="D18" s="3">
        <f t="shared" si="2"/>
        <v>-1.4320110000000002E-3</v>
      </c>
      <c r="E18" s="3">
        <f t="shared" si="3"/>
        <v>-2.4954219999999996E-4</v>
      </c>
      <c r="F18" s="3">
        <f t="shared" si="4"/>
        <v>3.3966489999999995E-2</v>
      </c>
      <c r="H18" s="3" t="s">
        <v>10</v>
      </c>
      <c r="I18" s="21">
        <f>(I16-I11)/I17</f>
        <v>0.81596073607546094</v>
      </c>
      <c r="J18" s="22"/>
      <c r="K18" s="22"/>
      <c r="L18" s="22"/>
      <c r="M18" s="22"/>
      <c r="N18" s="23"/>
    </row>
    <row r="20" spans="1:15" x14ac:dyDescent="0.2">
      <c r="B20" s="5"/>
      <c r="C20" s="5"/>
      <c r="D20" s="5"/>
      <c r="E20" s="5"/>
      <c r="F20" s="5"/>
    </row>
    <row r="21" spans="1:15" ht="26" x14ac:dyDescent="0.3">
      <c r="A21" s="17" t="s">
        <v>114</v>
      </c>
      <c r="B21" s="17"/>
      <c r="C21" s="17"/>
      <c r="D21" s="17"/>
      <c r="E21" s="17"/>
      <c r="F21" s="17"/>
      <c r="G21" s="17"/>
      <c r="H21" s="17"/>
      <c r="I21" s="17"/>
      <c r="J21" s="17"/>
      <c r="M21" s="18" t="s">
        <v>121</v>
      </c>
      <c r="N21" s="19"/>
    </row>
    <row r="22" spans="1:15" x14ac:dyDescent="0.2">
      <c r="A22" s="4"/>
      <c r="B22" s="4" t="s">
        <v>3</v>
      </c>
      <c r="C22" s="4" t="s">
        <v>4</v>
      </c>
      <c r="D22" s="4" t="s">
        <v>5</v>
      </c>
      <c r="E22" s="4" t="s">
        <v>6</v>
      </c>
      <c r="F22" s="4" t="s">
        <v>7</v>
      </c>
      <c r="G22" s="7" t="s">
        <v>13</v>
      </c>
      <c r="H22" s="3" t="s">
        <v>8</v>
      </c>
      <c r="I22" s="3" t="s">
        <v>9</v>
      </c>
      <c r="J22" s="3" t="s">
        <v>115</v>
      </c>
      <c r="M22" s="3" t="s">
        <v>120</v>
      </c>
      <c r="N22" s="3" t="s">
        <v>8</v>
      </c>
      <c r="O22" s="1"/>
    </row>
    <row r="23" spans="1:15" x14ac:dyDescent="0.2">
      <c r="A23" s="3" t="s">
        <v>15</v>
      </c>
      <c r="B23" s="3">
        <v>-9.9999999999926537E-7</v>
      </c>
      <c r="C23" s="3">
        <v>0</v>
      </c>
      <c r="D23" s="3">
        <v>0.9784940015162179</v>
      </c>
      <c r="E23" s="3">
        <v>0</v>
      </c>
      <c r="F23" s="3">
        <v>2.1506998483782253E-2</v>
      </c>
      <c r="G23" s="3">
        <f>SUM(B23:F23)</f>
        <v>1.0000000000000002</v>
      </c>
      <c r="H23" s="4">
        <v>5.5E-2</v>
      </c>
      <c r="I23" s="3">
        <f t="array" ref="I23">SQRT(MMULT(MMULT(B23:F23,$B$14:$F$18),TRANSPOSE(B23:F23)))</f>
        <v>0.10840746709223449</v>
      </c>
      <c r="J23" s="3">
        <f>MMULT(B23:F23,$B$2:$B$6)</f>
        <v>5.5000000029495878E-2</v>
      </c>
      <c r="M23" s="3">
        <v>0.10840746709223449</v>
      </c>
      <c r="N23" s="4">
        <v>5.5E-2</v>
      </c>
      <c r="O23" s="1"/>
    </row>
    <row r="24" spans="1:15" x14ac:dyDescent="0.2">
      <c r="A24" s="3" t="s">
        <v>14</v>
      </c>
      <c r="B24" s="3">
        <v>-9.9999999999926537E-7</v>
      </c>
      <c r="C24" s="3">
        <v>0</v>
      </c>
      <c r="D24" s="3">
        <v>0.96344023763056541</v>
      </c>
      <c r="E24" s="3">
        <v>0</v>
      </c>
      <c r="F24" s="3">
        <v>3.6560762369434632E-2</v>
      </c>
      <c r="G24" s="3">
        <f t="shared" ref="G24:G87" si="5">SUM(B24:F24)</f>
        <v>1</v>
      </c>
      <c r="H24" s="4">
        <f>H23+0.0007</f>
        <v>5.57E-2</v>
      </c>
      <c r="I24" s="3">
        <f t="array" ref="I24">SQRT(MMULT(MMULT(B24:F24,$B$14:$F$18),TRANSPOSE(B24:F24)))</f>
        <v>0.10668211993006403</v>
      </c>
      <c r="J24" s="3">
        <f t="shared" ref="J24:J87" si="6">MMULT(B24:F24,$B$2:$B$6)</f>
        <v>5.5700000050178708E-2</v>
      </c>
      <c r="M24" s="3">
        <v>0.10668211993006403</v>
      </c>
      <c r="N24" s="4">
        <f>N23+0.0007</f>
        <v>5.57E-2</v>
      </c>
      <c r="O24" s="1"/>
    </row>
    <row r="25" spans="1:15" x14ac:dyDescent="0.2">
      <c r="A25" s="3" t="s">
        <v>16</v>
      </c>
      <c r="B25" s="3">
        <v>-9.9999999999926537E-7</v>
      </c>
      <c r="C25" s="3">
        <v>0</v>
      </c>
      <c r="D25" s="3">
        <v>0.94838647380388252</v>
      </c>
      <c r="E25" s="3">
        <v>0</v>
      </c>
      <c r="F25" s="3">
        <v>5.1614526196117519E-2</v>
      </c>
      <c r="G25" s="3">
        <f t="shared" si="5"/>
        <v>1</v>
      </c>
      <c r="H25" s="4">
        <f t="shared" ref="H25:H88" si="7">H24+0.0007</f>
        <v>5.6399999999999999E-2</v>
      </c>
      <c r="I25" s="3">
        <f t="array" ref="I25">SQRT(MMULT(MMULT(B25:F25,$B$14:$F$18),TRANSPOSE(B25:F25)))</f>
        <v>0.10503450635215375</v>
      </c>
      <c r="J25" s="3">
        <f>MMULT(B25:F25,$B$2:$B$6)</f>
        <v>5.640000006811946E-2</v>
      </c>
      <c r="M25" s="3">
        <v>0.10503450635215375</v>
      </c>
      <c r="N25" s="4">
        <f t="shared" ref="N25:N88" si="8">N24+0.0007</f>
        <v>5.6399999999999999E-2</v>
      </c>
      <c r="O25" s="1"/>
    </row>
    <row r="26" spans="1:15" x14ac:dyDescent="0.2">
      <c r="A26" s="3" t="s">
        <v>17</v>
      </c>
      <c r="B26" s="3">
        <v>2.4670143181879669E-7</v>
      </c>
      <c r="C26" s="3">
        <v>2.0231225477747742E-7</v>
      </c>
      <c r="D26" s="3">
        <v>0.93310847701268962</v>
      </c>
      <c r="E26" s="3">
        <v>1.7062407374412263E-3</v>
      </c>
      <c r="F26" s="3">
        <v>6.5185527764513432E-2</v>
      </c>
      <c r="G26" s="3">
        <f t="shared" si="5"/>
        <v>1.0000006945283308</v>
      </c>
      <c r="H26" s="4">
        <f t="shared" si="7"/>
        <v>5.7099999999999998E-2</v>
      </c>
      <c r="I26" s="3">
        <f t="array" ref="I26">SQRT(MMULT(MMULT(B26:F26,$B$14:$F$18),TRANSPOSE(B26:F26)))</f>
        <v>0.10346772718936971</v>
      </c>
      <c r="J26" s="3">
        <f t="shared" si="6"/>
        <v>5.710012947498061E-2</v>
      </c>
      <c r="M26" s="3">
        <v>0.10346772718936971</v>
      </c>
      <c r="N26" s="4">
        <f t="shared" si="8"/>
        <v>5.7099999999999998E-2</v>
      </c>
      <c r="O26" s="1"/>
    </row>
    <row r="27" spans="1:15" x14ac:dyDescent="0.2">
      <c r="A27" s="3" t="s">
        <v>18</v>
      </c>
      <c r="B27" s="3">
        <v>9.4834183846546825E-7</v>
      </c>
      <c r="C27" s="3">
        <v>7.7770596718988671E-7</v>
      </c>
      <c r="D27" s="3">
        <v>0.91662408378336691</v>
      </c>
      <c r="E27" s="3">
        <v>1.2603108000806249E-2</v>
      </c>
      <c r="F27" s="3">
        <v>7.0770907908260364E-2</v>
      </c>
      <c r="G27" s="3">
        <f t="shared" si="5"/>
        <v>0.99999982574023916</v>
      </c>
      <c r="H27" s="4">
        <f t="shared" si="7"/>
        <v>5.7799999999999997E-2</v>
      </c>
      <c r="I27" s="3">
        <f t="array" ref="I27">SQRT(MMULT(MMULT(B27:F27,$B$14:$F$18),TRANSPOSE(B27:F27)))</f>
        <v>0.10195326500655746</v>
      </c>
      <c r="J27" s="3">
        <f t="shared" si="6"/>
        <v>5.780012947087311E-2</v>
      </c>
      <c r="M27" s="3">
        <v>0.10195326500655746</v>
      </c>
      <c r="N27" s="4">
        <f t="shared" si="8"/>
        <v>5.7799999999999997E-2</v>
      </c>
      <c r="O27" s="1"/>
    </row>
    <row r="28" spans="1:15" x14ac:dyDescent="0.2">
      <c r="A28" s="3" t="s">
        <v>19</v>
      </c>
      <c r="B28" s="3">
        <v>0</v>
      </c>
      <c r="C28" s="3">
        <v>0</v>
      </c>
      <c r="D28" s="3">
        <v>0.90014234536554816</v>
      </c>
      <c r="E28" s="3">
        <v>2.3500323564700176E-2</v>
      </c>
      <c r="F28" s="3">
        <v>7.6358331069751623E-2</v>
      </c>
      <c r="G28" s="3">
        <f t="shared" si="5"/>
        <v>1.0000009999999999</v>
      </c>
      <c r="H28" s="4">
        <f t="shared" si="7"/>
        <v>5.8499999999999996E-2</v>
      </c>
      <c r="I28" s="3">
        <f t="array" ref="I28">SQRT(MMULT(MMULT(B28:F28,$B$14:$F$18),TRANSPOSE(B28:F28)))</f>
        <v>0.10047548841825307</v>
      </c>
      <c r="J28" s="3">
        <f t="shared" si="6"/>
        <v>5.8500129466757332E-2</v>
      </c>
      <c r="M28" s="3">
        <v>0.10047548841825307</v>
      </c>
      <c r="N28" s="4">
        <f t="shared" si="8"/>
        <v>5.8499999999999996E-2</v>
      </c>
      <c r="O28" s="1"/>
    </row>
    <row r="29" spans="1:15" x14ac:dyDescent="0.2">
      <c r="A29" s="3" t="s">
        <v>20</v>
      </c>
      <c r="B29" s="3">
        <v>9.4834183846546825E-7</v>
      </c>
      <c r="C29" s="3">
        <v>7.7770596718988671E-7</v>
      </c>
      <c r="D29" s="3">
        <v>0.88365755532546986</v>
      </c>
      <c r="E29" s="3">
        <v>3.4397137757241326E-2</v>
      </c>
      <c r="F29" s="3">
        <v>8.1943406609722352E-2</v>
      </c>
      <c r="G29" s="3">
        <f t="shared" si="5"/>
        <v>0.99999982574023916</v>
      </c>
      <c r="H29" s="4">
        <f t="shared" si="7"/>
        <v>5.9199999999999996E-2</v>
      </c>
      <c r="I29" s="3">
        <f t="array" ref="I29">SQRT(MMULT(MMULT(B29:F29,$B$14:$F$18),TRANSPOSE(B29:F29)))</f>
        <v>9.9035500616955111E-2</v>
      </c>
      <c r="J29" s="3">
        <f t="shared" si="6"/>
        <v>5.9200129462651074E-2</v>
      </c>
      <c r="M29" s="3">
        <v>9.9035500616955111E-2</v>
      </c>
      <c r="N29" s="4">
        <f t="shared" si="8"/>
        <v>5.9199999999999996E-2</v>
      </c>
      <c r="O29" s="1"/>
    </row>
    <row r="30" spans="1:15" x14ac:dyDescent="0.2">
      <c r="A30" s="3" t="s">
        <v>21</v>
      </c>
      <c r="B30" s="3">
        <v>8.0760822273104097E-7</v>
      </c>
      <c r="C30" s="3">
        <v>9.1422213877383799E-7</v>
      </c>
      <c r="D30" s="3">
        <v>0.86717250698978698</v>
      </c>
      <c r="E30" s="3">
        <v>4.5294012029038218E-2</v>
      </c>
      <c r="F30" s="3">
        <v>8.7530759150813361E-2</v>
      </c>
      <c r="G30" s="3">
        <f t="shared" si="5"/>
        <v>0.99999900000000008</v>
      </c>
      <c r="H30" s="4">
        <f t="shared" si="7"/>
        <v>5.9899999999999995E-2</v>
      </c>
      <c r="I30" s="3">
        <f t="array" ref="I30">SQRT(MMULT(MMULT(B30:F30,$B$14:$F$18),TRANSPOSE(B30:F30)))</f>
        <v>9.7635226977145662E-2</v>
      </c>
      <c r="J30" s="3">
        <f t="shared" si="6"/>
        <v>5.9900129458540105E-2</v>
      </c>
      <c r="M30" s="3">
        <v>9.7635226977145662E-2</v>
      </c>
      <c r="N30" s="4">
        <f t="shared" si="8"/>
        <v>5.9899999999999995E-2</v>
      </c>
      <c r="O30" s="1"/>
    </row>
    <row r="31" spans="1:15" x14ac:dyDescent="0.2">
      <c r="A31" s="3" t="s">
        <v>22</v>
      </c>
      <c r="B31" s="3">
        <v>0</v>
      </c>
      <c r="C31" s="3">
        <v>0</v>
      </c>
      <c r="D31" s="3">
        <v>0.85069543349242449</v>
      </c>
      <c r="E31" s="3">
        <v>5.6174154529330944E-2</v>
      </c>
      <c r="F31" s="3">
        <v>9.3130411978244593E-2</v>
      </c>
      <c r="G31" s="3">
        <f t="shared" si="5"/>
        <v>1</v>
      </c>
      <c r="H31" s="4">
        <f t="shared" si="7"/>
        <v>6.0599999999999994E-2</v>
      </c>
      <c r="I31" s="3">
        <f t="array" ref="I31">SQRT(MMULT(MMULT(B31:F31,$B$14:$F$18),TRANSPOSE(B31:F31)))</f>
        <v>9.6276991895906869E-2</v>
      </c>
      <c r="J31" s="3">
        <f t="shared" si="6"/>
        <v>6.0599999999973342E-2</v>
      </c>
      <c r="M31" s="3">
        <v>9.6276991895906869E-2</v>
      </c>
      <c r="N31" s="4">
        <f t="shared" si="8"/>
        <v>6.0599999999999994E-2</v>
      </c>
      <c r="O31" s="1"/>
    </row>
    <row r="32" spans="1:15" x14ac:dyDescent="0.2">
      <c r="A32" s="3" t="s">
        <v>23</v>
      </c>
      <c r="B32" s="3">
        <v>0</v>
      </c>
      <c r="C32" s="3">
        <v>0</v>
      </c>
      <c r="D32" s="3">
        <v>0.83421216916494656</v>
      </c>
      <c r="E32" s="3">
        <v>6.7071169484695353E-2</v>
      </c>
      <c r="F32" s="3">
        <v>9.8716661350358045E-2</v>
      </c>
      <c r="G32" s="3">
        <f t="shared" si="5"/>
        <v>1</v>
      </c>
      <c r="H32" s="4">
        <f t="shared" si="7"/>
        <v>6.1299999999999993E-2</v>
      </c>
      <c r="I32" s="3">
        <f t="array" ref="I32">SQRT(MMULT(MMULT(B32:F32,$B$14:$F$18),TRANSPOSE(B32:F32)))</f>
        <v>9.4961661400343469E-2</v>
      </c>
      <c r="J32" s="3">
        <f t="shared" si="6"/>
        <v>6.1299999999973334E-2</v>
      </c>
      <c r="M32" s="3">
        <v>9.4961661400343469E-2</v>
      </c>
      <c r="N32" s="4">
        <f t="shared" si="8"/>
        <v>6.1299999999999993E-2</v>
      </c>
      <c r="O32" s="1"/>
    </row>
    <row r="33" spans="1:15" x14ac:dyDescent="0.2">
      <c r="A33" s="3" t="s">
        <v>24</v>
      </c>
      <c r="B33" s="3">
        <v>0</v>
      </c>
      <c r="C33" s="3">
        <v>0</v>
      </c>
      <c r="D33" s="3">
        <v>0.81772602419124385</v>
      </c>
      <c r="E33" s="3">
        <v>7.7985398181137047E-2</v>
      </c>
      <c r="F33" s="3">
        <v>0.1042895776276191</v>
      </c>
      <c r="G33" s="3">
        <f t="shared" si="5"/>
        <v>1.0000009999999999</v>
      </c>
      <c r="H33" s="4">
        <f t="shared" si="7"/>
        <v>6.1999999999999993E-2</v>
      </c>
      <c r="I33" s="3">
        <f t="array" ref="I33">SQRT(MMULT(MMULT(B33:F33,$B$14:$F$18),TRANSPOSE(B33:F33)))</f>
        <v>9.3691398442178747E-2</v>
      </c>
      <c r="J33" s="3">
        <f t="shared" si="6"/>
        <v>6.2000129446202229E-2</v>
      </c>
      <c r="M33" s="3">
        <v>9.3691398442178747E-2</v>
      </c>
      <c r="N33" s="4">
        <f t="shared" si="8"/>
        <v>6.1999999999999993E-2</v>
      </c>
      <c r="O33" s="1"/>
    </row>
    <row r="34" spans="1:15" x14ac:dyDescent="0.2">
      <c r="A34" s="3" t="s">
        <v>25</v>
      </c>
      <c r="B34" s="3">
        <v>0</v>
      </c>
      <c r="C34" s="3">
        <v>0</v>
      </c>
      <c r="D34" s="3">
        <v>0.8012427599231905</v>
      </c>
      <c r="E34" s="3">
        <v>8.8882413357447218E-2</v>
      </c>
      <c r="F34" s="3">
        <v>0.10987582671936227</v>
      </c>
      <c r="G34" s="3">
        <f t="shared" si="5"/>
        <v>1.0000009999999999</v>
      </c>
      <c r="H34" s="4">
        <f t="shared" si="7"/>
        <v>6.2699999999999992E-2</v>
      </c>
      <c r="I34" s="3">
        <f t="array" ref="I34">SQRT(MMULT(MMULT(B34:F34,$B$14:$F$18),TRANSPOSE(B34:F34)))</f>
        <v>9.2468119059120543E-2</v>
      </c>
      <c r="J34" s="3">
        <f t="shared" si="6"/>
        <v>6.2700129442091218E-2</v>
      </c>
      <c r="M34" s="3">
        <v>9.2468119059120543E-2</v>
      </c>
      <c r="N34" s="4">
        <f t="shared" si="8"/>
        <v>6.2699999999999992E-2</v>
      </c>
      <c r="O34" s="1"/>
    </row>
    <row r="35" spans="1:15" x14ac:dyDescent="0.2">
      <c r="A35" s="3" t="s">
        <v>26</v>
      </c>
      <c r="B35" s="3">
        <v>9.4834183846546825E-7</v>
      </c>
      <c r="C35" s="3">
        <v>7.7770596718988671E-7</v>
      </c>
      <c r="D35" s="3">
        <v>0.78475796982525481</v>
      </c>
      <c r="E35" s="3">
        <v>9.9779227991032463E-2</v>
      </c>
      <c r="F35" s="3">
        <v>0.1154609018761462</v>
      </c>
      <c r="G35" s="3">
        <f t="shared" si="5"/>
        <v>0.99999982574023916</v>
      </c>
      <c r="H35" s="4">
        <f t="shared" si="7"/>
        <v>6.3399999999999998E-2</v>
      </c>
      <c r="I35" s="3">
        <f t="array" ref="I35">SQRT(MMULT(MMULT(B35:F35,$B$14:$F$18),TRANSPOSE(B35:F35)))</f>
        <v>9.1293532108760109E-2</v>
      </c>
      <c r="J35" s="3">
        <f t="shared" si="6"/>
        <v>6.3400129437984939E-2</v>
      </c>
      <c r="M35" s="3">
        <v>9.1293532108760109E-2</v>
      </c>
      <c r="N35" s="4">
        <f t="shared" si="8"/>
        <v>6.3399999999999998E-2</v>
      </c>
      <c r="O35" s="1"/>
    </row>
    <row r="36" spans="1:15" x14ac:dyDescent="0.2">
      <c r="A36" s="3" t="s">
        <v>27</v>
      </c>
      <c r="B36" s="3">
        <v>0</v>
      </c>
      <c r="C36" s="3">
        <v>0</v>
      </c>
      <c r="D36" s="3">
        <v>0.76827911180373243</v>
      </c>
      <c r="E36" s="3">
        <v>0.11065922969722848</v>
      </c>
      <c r="F36" s="3">
        <v>0.12106165849903898</v>
      </c>
      <c r="G36" s="3">
        <f t="shared" si="5"/>
        <v>0.99999999999999989</v>
      </c>
      <c r="H36" s="4">
        <f t="shared" si="7"/>
        <v>6.4100000000000004E-2</v>
      </c>
      <c r="I36" s="3">
        <f t="array" ref="I36">SQRT(MMULT(MMULT(B36:F36,$B$14:$F$18),TRANSPOSE(B36:F36)))</f>
        <v>9.0170001081437412E-2</v>
      </c>
      <c r="J36" s="3">
        <f t="shared" si="6"/>
        <v>6.4099999999973345E-2</v>
      </c>
      <c r="M36" s="3">
        <v>9.0170001081437412E-2</v>
      </c>
      <c r="N36" s="4">
        <f t="shared" si="8"/>
        <v>6.4100000000000004E-2</v>
      </c>
      <c r="O36" s="1"/>
    </row>
    <row r="37" spans="1:15" x14ac:dyDescent="0.2">
      <c r="A37" s="3" t="s">
        <v>28</v>
      </c>
      <c r="B37" s="3">
        <v>0</v>
      </c>
      <c r="C37" s="3">
        <v>0</v>
      </c>
      <c r="D37" s="3">
        <v>0.75179584743633532</v>
      </c>
      <c r="E37" s="3">
        <v>0.1215562449568966</v>
      </c>
      <c r="F37" s="3">
        <v>0.12664790760676808</v>
      </c>
      <c r="G37" s="3">
        <f t="shared" si="5"/>
        <v>1</v>
      </c>
      <c r="H37" s="4">
        <f t="shared" si="7"/>
        <v>6.480000000000001E-2</v>
      </c>
      <c r="I37" s="3">
        <f t="array" ref="I37">SQRT(MMULT(MMULT(B37:F37,$B$14:$F$18),TRANSPOSE(B37:F37)))</f>
        <v>8.9098973659598235E-2</v>
      </c>
      <c r="J37" s="3">
        <f t="shared" si="6"/>
        <v>6.4799999999973337E-2</v>
      </c>
      <c r="M37" s="3">
        <v>8.9098973659598235E-2</v>
      </c>
      <c r="N37" s="4">
        <f t="shared" si="8"/>
        <v>6.480000000000001E-2</v>
      </c>
      <c r="O37" s="1"/>
    </row>
    <row r="38" spans="1:15" x14ac:dyDescent="0.2">
      <c r="A38" s="3" t="s">
        <v>29</v>
      </c>
      <c r="B38" s="3">
        <v>0</v>
      </c>
      <c r="C38" s="3">
        <v>0</v>
      </c>
      <c r="D38" s="3">
        <v>0.73530970295405351</v>
      </c>
      <c r="E38" s="3">
        <v>0.13247047327694828</v>
      </c>
      <c r="F38" s="3">
        <v>0.1322208237689981</v>
      </c>
      <c r="G38" s="3">
        <f t="shared" si="5"/>
        <v>1.0000009999999999</v>
      </c>
      <c r="H38" s="4">
        <f t="shared" si="7"/>
        <v>6.5500000000000017E-2</v>
      </c>
      <c r="I38" s="3">
        <f t="array" ref="I38">SQRT(MMULT(MMULT(B38:F38,$B$14:$F$18),TRANSPOSE(B38:F38)))</f>
        <v>8.8082533635295765E-2</v>
      </c>
      <c r="J38" s="3">
        <f t="shared" si="6"/>
        <v>6.5500129425647119E-2</v>
      </c>
      <c r="M38" s="3">
        <v>8.8082533635295765E-2</v>
      </c>
      <c r="N38" s="4">
        <f t="shared" si="8"/>
        <v>6.5500000000000017E-2</v>
      </c>
      <c r="O38" s="1"/>
    </row>
    <row r="39" spans="1:15" x14ac:dyDescent="0.2">
      <c r="A39" s="3" t="s">
        <v>30</v>
      </c>
      <c r="B39" s="3">
        <v>0</v>
      </c>
      <c r="C39" s="3">
        <v>0</v>
      </c>
      <c r="D39" s="3">
        <v>0.71882931863551658</v>
      </c>
      <c r="E39" s="3">
        <v>0.14335027597953198</v>
      </c>
      <c r="F39" s="3">
        <v>0.13782040538495133</v>
      </c>
      <c r="G39" s="3">
        <f t="shared" si="5"/>
        <v>0.99999999999999989</v>
      </c>
      <c r="H39" s="4">
        <f t="shared" si="7"/>
        <v>6.6200000000000023E-2</v>
      </c>
      <c r="I39" s="3">
        <f t="array" ref="I39">SQRT(MMULT(MMULT(B39:F39,$B$14:$F$18),TRANSPOSE(B39:F39)))</f>
        <v>8.7122598436887091E-2</v>
      </c>
      <c r="J39" s="3">
        <f t="shared" si="6"/>
        <v>6.6199999999973322E-2</v>
      </c>
      <c r="M39" s="3">
        <v>8.7122598436887091E-2</v>
      </c>
      <c r="N39" s="4">
        <f t="shared" si="8"/>
        <v>6.6200000000000023E-2</v>
      </c>
      <c r="O39" s="1"/>
    </row>
    <row r="40" spans="1:15" x14ac:dyDescent="0.2">
      <c r="A40" s="3" t="s">
        <v>31</v>
      </c>
      <c r="B40" s="3">
        <v>0</v>
      </c>
      <c r="C40" s="3">
        <v>0</v>
      </c>
      <c r="D40" s="3">
        <v>0.702346054016318</v>
      </c>
      <c r="E40" s="3">
        <v>0.15424729315866925</v>
      </c>
      <c r="F40" s="3">
        <v>0.14340665282501272</v>
      </c>
      <c r="G40" s="3">
        <f t="shared" si="5"/>
        <v>1</v>
      </c>
      <c r="H40" s="4">
        <f t="shared" si="7"/>
        <v>6.6900000000000029E-2</v>
      </c>
      <c r="I40" s="3">
        <f t="array" ref="I40">SQRT(MMULT(MMULT(B40:F40,$B$14:$F$18),TRANSPOSE(B40:F40)))</f>
        <v>8.6221048459335439E-2</v>
      </c>
      <c r="J40" s="3">
        <f t="shared" si="6"/>
        <v>6.6899999999973328E-2</v>
      </c>
      <c r="M40" s="3">
        <v>8.6221048459335439E-2</v>
      </c>
      <c r="N40" s="4">
        <f t="shared" si="8"/>
        <v>6.6900000000000029E-2</v>
      </c>
      <c r="O40" s="1"/>
    </row>
    <row r="41" spans="1:15" x14ac:dyDescent="0.2">
      <c r="A41" s="3" t="s">
        <v>32</v>
      </c>
      <c r="B41" s="3">
        <v>9.4834183846546825E-7</v>
      </c>
      <c r="C41" s="3">
        <v>7.7770596718988671E-7</v>
      </c>
      <c r="D41" s="3">
        <v>0.68585838432504009</v>
      </c>
      <c r="E41" s="3">
        <v>0.1651613182248223</v>
      </c>
      <c r="F41" s="3">
        <v>0.14897839714257108</v>
      </c>
      <c r="G41" s="3">
        <f t="shared" si="5"/>
        <v>0.99999982574023916</v>
      </c>
      <c r="H41" s="4">
        <f t="shared" si="7"/>
        <v>6.7600000000000035E-2</v>
      </c>
      <c r="I41" s="3">
        <f t="array" ref="I41">SQRT(MMULT(MMULT(B41:F41,$B$14:$F$18),TRANSPOSE(B41:F41)))</f>
        <v>8.5379599113064863E-2</v>
      </c>
      <c r="J41" s="3">
        <f t="shared" si="6"/>
        <v>6.7600129413318805E-2</v>
      </c>
      <c r="M41" s="3">
        <v>8.5379599113064863E-2</v>
      </c>
      <c r="N41" s="4">
        <f t="shared" si="8"/>
        <v>6.7600000000000035E-2</v>
      </c>
      <c r="O41" s="1"/>
    </row>
    <row r="42" spans="1:15" x14ac:dyDescent="0.2">
      <c r="A42" s="3" t="s">
        <v>33</v>
      </c>
      <c r="B42" s="3">
        <v>0</v>
      </c>
      <c r="C42" s="3">
        <v>1.1350845109665698E-3</v>
      </c>
      <c r="D42" s="3">
        <v>0.67013674263906597</v>
      </c>
      <c r="E42" s="3">
        <v>0.17467917543992481</v>
      </c>
      <c r="F42" s="3">
        <v>0.15404899741004266</v>
      </c>
      <c r="G42" s="3">
        <f t="shared" si="5"/>
        <v>1</v>
      </c>
      <c r="H42" s="4">
        <f t="shared" si="7"/>
        <v>6.8300000000000041E-2</v>
      </c>
      <c r="I42" s="3">
        <f t="array" ref="I42">SQRT(MMULT(MMULT(B42:F42,$B$14:$F$18),TRANSPOSE(B42:F42)))</f>
        <v>8.4600162126703807E-2</v>
      </c>
      <c r="J42" s="3">
        <f t="shared" si="6"/>
        <v>6.8300000000009797E-2</v>
      </c>
      <c r="M42" s="3">
        <v>8.4600162126703807E-2</v>
      </c>
      <c r="N42" s="4">
        <f t="shared" si="8"/>
        <v>6.8300000000000041E-2</v>
      </c>
      <c r="O42" s="1"/>
    </row>
    <row r="43" spans="1:15" x14ac:dyDescent="0.2">
      <c r="A43" s="3" t="s">
        <v>34</v>
      </c>
      <c r="B43" s="3">
        <v>0</v>
      </c>
      <c r="C43" s="3">
        <v>9.8522411782629299E-3</v>
      </c>
      <c r="D43" s="3">
        <v>0.65948833821614439</v>
      </c>
      <c r="E43" s="3">
        <v>0.17496563751873789</v>
      </c>
      <c r="F43" s="3">
        <v>0.15569378308685475</v>
      </c>
      <c r="G43" s="3">
        <f t="shared" si="5"/>
        <v>1</v>
      </c>
      <c r="H43" s="4">
        <f t="shared" si="7"/>
        <v>6.9000000000000047E-2</v>
      </c>
      <c r="I43" s="3">
        <f t="array" ref="I43">SQRT(MMULT(MMULT(B43:F43,$B$14:$F$18),TRANSPOSE(B43:F43)))</f>
        <v>8.3862312409859183E-2</v>
      </c>
      <c r="J43" s="3">
        <f t="shared" si="6"/>
        <v>6.9000000000009817E-2</v>
      </c>
      <c r="M43" s="3">
        <v>8.3862312409859183E-2</v>
      </c>
      <c r="N43" s="4">
        <f t="shared" si="8"/>
        <v>6.9000000000000047E-2</v>
      </c>
      <c r="O43" s="1"/>
    </row>
    <row r="44" spans="1:15" x14ac:dyDescent="0.2">
      <c r="A44" s="3" t="s">
        <v>35</v>
      </c>
      <c r="B44" s="3">
        <v>0</v>
      </c>
      <c r="C44" s="3">
        <v>1.8551196977027031E-2</v>
      </c>
      <c r="D44" s="3">
        <v>0.64885096427688627</v>
      </c>
      <c r="E44" s="3">
        <v>0.17525648686008247</v>
      </c>
      <c r="F44" s="3">
        <v>0.15734235188600412</v>
      </c>
      <c r="G44" s="3">
        <f t="shared" si="5"/>
        <v>1.0000009999999999</v>
      </c>
      <c r="H44" s="4">
        <f t="shared" si="7"/>
        <v>6.9700000000000054E-2</v>
      </c>
      <c r="I44" s="3">
        <f t="array" ref="I44">SQRT(MMULT(MMULT(B44:F44,$B$14:$F$18),TRANSPOSE(B44:F44)))</f>
        <v>8.315475277906488E-2</v>
      </c>
      <c r="J44" s="3">
        <f t="shared" si="6"/>
        <v>6.9699129459633816E-2</v>
      </c>
      <c r="M44" s="3">
        <v>8.315475277906488E-2</v>
      </c>
      <c r="N44" s="4">
        <f t="shared" si="8"/>
        <v>6.9700000000000054E-2</v>
      </c>
      <c r="O44" s="1"/>
    </row>
    <row r="45" spans="1:15" x14ac:dyDescent="0.2">
      <c r="A45" s="3" t="s">
        <v>36</v>
      </c>
      <c r="B45" s="3">
        <v>0</v>
      </c>
      <c r="C45" s="3">
        <v>2.7268319106094476E-2</v>
      </c>
      <c r="D45" s="3">
        <v>0.63820253423899986</v>
      </c>
      <c r="E45" s="3">
        <v>0.17554300617005544</v>
      </c>
      <c r="F45" s="3">
        <v>0.1589871404848501</v>
      </c>
      <c r="G45" s="3">
        <f t="shared" si="5"/>
        <v>1.0000009999999999</v>
      </c>
      <c r="H45" s="4">
        <f t="shared" si="7"/>
        <v>7.040000000000006E-2</v>
      </c>
      <c r="I45" s="3">
        <f t="array" ref="I45">SQRT(MMULT(MMULT(B45:F45,$B$14:$F$18),TRANSPOSE(B45:F45)))</f>
        <v>8.2476167052476956E-2</v>
      </c>
      <c r="J45" s="3">
        <f t="shared" si="6"/>
        <v>7.0399129483063594E-2</v>
      </c>
      <c r="M45" s="3">
        <v>8.2476167052476956E-2</v>
      </c>
      <c r="N45" s="4">
        <f t="shared" si="8"/>
        <v>7.040000000000006E-2</v>
      </c>
      <c r="O45" s="1"/>
    </row>
    <row r="46" spans="1:15" x14ac:dyDescent="0.2">
      <c r="A46" s="3" t="s">
        <v>37</v>
      </c>
      <c r="B46" s="3">
        <v>0</v>
      </c>
      <c r="C46" s="3">
        <v>3.6003728203259922E-2</v>
      </c>
      <c r="D46" s="3">
        <v>0.62754315058776811</v>
      </c>
      <c r="E46" s="3">
        <v>0.17582489443871199</v>
      </c>
      <c r="F46" s="3">
        <v>0.16062822677025995</v>
      </c>
      <c r="G46" s="3">
        <f t="shared" si="5"/>
        <v>1</v>
      </c>
      <c r="H46" s="4">
        <f t="shared" si="7"/>
        <v>7.1100000000000066E-2</v>
      </c>
      <c r="I46" s="3">
        <f t="array" ref="I46">SQRT(MMULT(MMULT(B46:F46,$B$14:$F$18),TRANSPOSE(B46:F46)))</f>
        <v>8.1827424916988425E-2</v>
      </c>
      <c r="J46" s="3">
        <f t="shared" si="6"/>
        <v>7.1100000000009905E-2</v>
      </c>
      <c r="M46" s="3">
        <v>8.1827424916988425E-2</v>
      </c>
      <c r="N46" s="4">
        <f t="shared" si="8"/>
        <v>7.1100000000000066E-2</v>
      </c>
      <c r="O46" s="1"/>
    </row>
    <row r="47" spans="1:15" x14ac:dyDescent="0.2">
      <c r="A47" s="3" t="s">
        <v>38</v>
      </c>
      <c r="B47" s="3">
        <v>0</v>
      </c>
      <c r="C47" s="3">
        <v>4.4702590093851025E-2</v>
      </c>
      <c r="D47" s="3">
        <v>0.61690568927411793</v>
      </c>
      <c r="E47" s="3">
        <v>0.17611603345156826</v>
      </c>
      <c r="F47" s="3">
        <v>0.16227668718046268</v>
      </c>
      <c r="G47" s="3">
        <f t="shared" si="5"/>
        <v>1.0000009999999999</v>
      </c>
      <c r="H47" s="4">
        <f t="shared" si="7"/>
        <v>7.1800000000000072E-2</v>
      </c>
      <c r="I47" s="3">
        <f t="array" ref="I47">SQRT(MMULT(MMULT(B47:F47,$B$14:$F$18),TRANSPOSE(B47:F47)))</f>
        <v>8.1212059285122665E-2</v>
      </c>
      <c r="J47" s="3">
        <f t="shared" si="6"/>
        <v>7.1799129529923206E-2</v>
      </c>
      <c r="M47" s="3">
        <v>8.1212059285122665E-2</v>
      </c>
      <c r="N47" s="4">
        <f t="shared" si="8"/>
        <v>7.1800000000000072E-2</v>
      </c>
      <c r="O47" s="1"/>
    </row>
    <row r="48" spans="1:15" x14ac:dyDescent="0.2">
      <c r="A48" s="3" t="s">
        <v>39</v>
      </c>
      <c r="B48" s="3">
        <v>0</v>
      </c>
      <c r="C48" s="3">
        <v>5.3419720466094181E-2</v>
      </c>
      <c r="D48" s="3">
        <v>0.60625726319138462</v>
      </c>
      <c r="E48" s="3">
        <v>0.17640255463836671</v>
      </c>
      <c r="F48" s="3">
        <v>0.16392146170415439</v>
      </c>
      <c r="G48" s="3">
        <f t="shared" si="5"/>
        <v>1.0000009999999999</v>
      </c>
      <c r="H48" s="4">
        <f t="shared" si="7"/>
        <v>7.2500000000000078E-2</v>
      </c>
      <c r="I48" s="3">
        <f t="array" ref="I48">SQRT(MMULT(MMULT(B48:F48,$B$14:$F$18),TRANSPOSE(B48:F48)))</f>
        <v>8.0627996335462096E-2</v>
      </c>
      <c r="J48" s="3">
        <f t="shared" si="6"/>
        <v>7.2499129553353012E-2</v>
      </c>
      <c r="M48" s="3">
        <v>8.0627996335462096E-2</v>
      </c>
      <c r="N48" s="4">
        <f t="shared" si="8"/>
        <v>7.2500000000000078E-2</v>
      </c>
      <c r="O48" s="1"/>
    </row>
    <row r="49" spans="1:15" x14ac:dyDescent="0.2">
      <c r="A49" s="3" t="s">
        <v>40</v>
      </c>
      <c r="B49" s="3">
        <v>0</v>
      </c>
      <c r="C49" s="3">
        <v>6.2152121779822211E-2</v>
      </c>
      <c r="D49" s="3">
        <v>0.59559089097253703</v>
      </c>
      <c r="E49" s="3">
        <v>0.17668832445451388</v>
      </c>
      <c r="F49" s="3">
        <v>0.1655676627931269</v>
      </c>
      <c r="G49" s="3">
        <f t="shared" si="5"/>
        <v>0.99999900000000008</v>
      </c>
      <c r="H49" s="4">
        <f t="shared" si="7"/>
        <v>7.3200000000000084E-2</v>
      </c>
      <c r="I49" s="3">
        <f t="array" ref="I49">SQRT(MMULT(MMULT(B49:F49,$B$14:$F$18),TRANSPOSE(B49:F49)))</f>
        <v>8.007583821954678E-2</v>
      </c>
      <c r="J49" s="3">
        <f t="shared" si="6"/>
        <v>7.3200129576786274E-2</v>
      </c>
      <c r="M49" s="3">
        <v>8.007583821954678E-2</v>
      </c>
      <c r="N49" s="4">
        <f t="shared" si="8"/>
        <v>7.3200000000000084E-2</v>
      </c>
      <c r="O49" s="1"/>
    </row>
    <row r="50" spans="1:15" x14ac:dyDescent="0.2">
      <c r="A50" s="3" t="s">
        <v>41</v>
      </c>
      <c r="B50" s="3">
        <v>0</v>
      </c>
      <c r="C50" s="3">
        <v>7.086552573651278E-2</v>
      </c>
      <c r="D50" s="3">
        <v>0.58494536992912383</v>
      </c>
      <c r="E50" s="3">
        <v>0.17697591115404795</v>
      </c>
      <c r="F50" s="3">
        <v>0.16721319318031552</v>
      </c>
      <c r="G50" s="3">
        <f t="shared" si="5"/>
        <v>1</v>
      </c>
      <c r="H50" s="4">
        <f t="shared" si="7"/>
        <v>7.3900000000000091E-2</v>
      </c>
      <c r="I50" s="3">
        <f t="array" ref="I50">SQRT(MMULT(MMULT(B50:F50,$B$14:$F$18),TRANSPOSE(B50:F50)))</f>
        <v>7.955862070710569E-2</v>
      </c>
      <c r="J50" s="3">
        <f t="shared" si="6"/>
        <v>7.3900000200211396E-2</v>
      </c>
      <c r="M50" s="3">
        <v>7.955862070710569E-2</v>
      </c>
      <c r="N50" s="4">
        <f t="shared" si="8"/>
        <v>7.3900000000000091E-2</v>
      </c>
      <c r="O50" s="1"/>
    </row>
    <row r="51" spans="1:15" x14ac:dyDescent="0.2">
      <c r="A51" s="3" t="s">
        <v>42</v>
      </c>
      <c r="B51" s="3">
        <v>0</v>
      </c>
      <c r="C51" s="3">
        <v>7.9570209943526371E-2</v>
      </c>
      <c r="D51" s="3">
        <v>0.57431216030236165</v>
      </c>
      <c r="E51" s="3">
        <v>0.17726201605862402</v>
      </c>
      <c r="F51" s="3">
        <v>0.1688556136954881</v>
      </c>
      <c r="G51" s="3">
        <f t="shared" si="5"/>
        <v>1.0000000000000002</v>
      </c>
      <c r="H51" s="4">
        <f t="shared" si="7"/>
        <v>7.4600000000000097E-2</v>
      </c>
      <c r="I51" s="3">
        <f t="array" ref="I51">SQRT(MMULT(MMULT(B51:F51,$B$14:$F$18),TRANSPOSE(B51:F51)))</f>
        <v>7.9076119718892834E-2</v>
      </c>
      <c r="J51" s="3">
        <f t="shared" si="6"/>
        <v>7.4599000223644157E-2</v>
      </c>
      <c r="M51" s="3">
        <v>7.9076119718892834E-2</v>
      </c>
      <c r="N51" s="4">
        <f t="shared" si="8"/>
        <v>7.4600000000000097E-2</v>
      </c>
      <c r="O51" s="1"/>
    </row>
    <row r="52" spans="1:15" x14ac:dyDescent="0.2">
      <c r="A52" s="3" t="s">
        <v>43</v>
      </c>
      <c r="B52" s="3">
        <v>0</v>
      </c>
      <c r="C52" s="3">
        <v>8.8299802512277342E-2</v>
      </c>
      <c r="D52" s="3">
        <v>0.56364852702731272</v>
      </c>
      <c r="E52" s="3">
        <v>0.17754894519670711</v>
      </c>
      <c r="F52" s="3">
        <v>0.1705027252637028</v>
      </c>
      <c r="G52" s="3">
        <f t="shared" si="5"/>
        <v>1</v>
      </c>
      <c r="H52" s="4">
        <f t="shared" si="7"/>
        <v>7.5300000000000103E-2</v>
      </c>
      <c r="I52" s="3">
        <f t="array" ref="I52">SQRT(MMULT(MMULT(B52:F52,$B$14:$F$18),TRANSPOSE(B52:F52)))</f>
        <v>7.8627205620047727E-2</v>
      </c>
      <c r="J52" s="3">
        <f t="shared" si="6"/>
        <v>7.5300000247071022E-2</v>
      </c>
      <c r="M52" s="3">
        <v>7.8627205620047727E-2</v>
      </c>
      <c r="N52" s="4">
        <f t="shared" si="8"/>
        <v>7.5300000000000103E-2</v>
      </c>
      <c r="O52" s="1"/>
    </row>
    <row r="53" spans="1:15" x14ac:dyDescent="0.2">
      <c r="A53" s="3" t="s">
        <v>44</v>
      </c>
      <c r="B53" s="3">
        <v>0</v>
      </c>
      <c r="C53" s="3">
        <v>9.7016934813341241E-2</v>
      </c>
      <c r="D53" s="3">
        <v>0.55300010292412194</v>
      </c>
      <c r="E53" s="3">
        <v>0.17783545878749299</v>
      </c>
      <c r="F53" s="3">
        <v>0.17214750347504384</v>
      </c>
      <c r="G53" s="3">
        <f t="shared" si="5"/>
        <v>1</v>
      </c>
      <c r="H53" s="4">
        <f t="shared" si="7"/>
        <v>7.6000000000000109E-2</v>
      </c>
      <c r="I53" s="3">
        <f t="array" ref="I53">SQRT(MMULT(MMULT(B53:F53,$B$14:$F$18),TRANSPOSE(B53:F53)))</f>
        <v>7.8214475194346947E-2</v>
      </c>
      <c r="J53" s="3">
        <f t="shared" si="6"/>
        <v>7.6000000270500814E-2</v>
      </c>
      <c r="M53" s="3">
        <v>7.8214475194346947E-2</v>
      </c>
      <c r="N53" s="4">
        <f t="shared" si="8"/>
        <v>7.6000000000000109E-2</v>
      </c>
      <c r="O53" s="1"/>
    </row>
    <row r="54" spans="1:15" x14ac:dyDescent="0.2">
      <c r="A54" s="3" t="s">
        <v>45</v>
      </c>
      <c r="B54" s="3">
        <v>0</v>
      </c>
      <c r="C54" s="3">
        <v>0.10573406396684823</v>
      </c>
      <c r="D54" s="3">
        <v>0.54235167715748334</v>
      </c>
      <c r="E54" s="3">
        <v>0.17812197282962638</v>
      </c>
      <c r="F54" s="3">
        <v>0.17379228604604199</v>
      </c>
      <c r="G54" s="3">
        <f t="shared" si="5"/>
        <v>1</v>
      </c>
      <c r="H54" s="4">
        <f t="shared" si="7"/>
        <v>7.6700000000000115E-2</v>
      </c>
      <c r="I54" s="3">
        <f t="array" ref="I54">SQRT(MMULT(MMULT(B54:F54,$B$14:$F$18),TRANSPOSE(B54:F54)))</f>
        <v>7.7837827964151729E-2</v>
      </c>
      <c r="J54" s="3">
        <f t="shared" si="6"/>
        <v>7.6700000293930606E-2</v>
      </c>
      <c r="M54" s="3">
        <v>7.7837827964151729E-2</v>
      </c>
      <c r="N54" s="4">
        <f t="shared" si="8"/>
        <v>7.6700000000000115E-2</v>
      </c>
      <c r="O54" s="1"/>
    </row>
    <row r="55" spans="1:15" x14ac:dyDescent="0.2">
      <c r="A55" s="3" t="s">
        <v>46</v>
      </c>
      <c r="B55" s="3">
        <v>0</v>
      </c>
      <c r="C55" s="3">
        <v>0.11445118907656819</v>
      </c>
      <c r="D55" s="3">
        <v>0.53170324778561184</v>
      </c>
      <c r="E55" s="3">
        <v>0.1784084986431706</v>
      </c>
      <c r="F55" s="3">
        <v>0.17543706449464941</v>
      </c>
      <c r="G55" s="3">
        <f t="shared" si="5"/>
        <v>1</v>
      </c>
      <c r="H55" s="4">
        <f t="shared" si="7"/>
        <v>7.7400000000000121E-2</v>
      </c>
      <c r="I55" s="3">
        <f t="array" ref="I55">SQRT(MMULT(MMULT(B55:F55,$B$14:$F$18),TRANSPOSE(B55:F55)))</f>
        <v>7.7497790035372868E-2</v>
      </c>
      <c r="J55" s="3">
        <f t="shared" si="6"/>
        <v>7.7400000317360385E-2</v>
      </c>
      <c r="M55" s="3">
        <v>7.7497790035372868E-2</v>
      </c>
      <c r="N55" s="4">
        <f t="shared" si="8"/>
        <v>7.7400000000000121E-2</v>
      </c>
      <c r="O55" s="1"/>
    </row>
    <row r="56" spans="1:15" x14ac:dyDescent="0.2">
      <c r="A56" s="3" t="s">
        <v>47</v>
      </c>
      <c r="B56" s="3">
        <v>0</v>
      </c>
      <c r="C56" s="3">
        <v>0.12316831382390066</v>
      </c>
      <c r="D56" s="3">
        <v>0.52105481955818156</v>
      </c>
      <c r="E56" s="3">
        <v>0.17869501432472712</v>
      </c>
      <c r="F56" s="3">
        <v>0.17708185229319051</v>
      </c>
      <c r="G56" s="3">
        <f t="shared" si="5"/>
        <v>0.99999999999999989</v>
      </c>
      <c r="H56" s="4">
        <f t="shared" si="7"/>
        <v>7.8100000000000128E-2</v>
      </c>
      <c r="I56" s="3">
        <f t="array" ref="I56">SQRT(MMULT(MMULT(B56:F56,$B$14:$F$18),TRANSPOSE(B56:F56)))</f>
        <v>7.7194845193810813E-2</v>
      </c>
      <c r="J56" s="3">
        <f t="shared" si="6"/>
        <v>7.8100000340790149E-2</v>
      </c>
      <c r="M56" s="3">
        <v>7.7194845193810813E-2</v>
      </c>
      <c r="N56" s="4">
        <f t="shared" si="8"/>
        <v>7.8100000000000128E-2</v>
      </c>
      <c r="O56" s="1"/>
    </row>
    <row r="57" spans="1:15" x14ac:dyDescent="0.2">
      <c r="A57" s="3" t="s">
        <v>48</v>
      </c>
      <c r="B57" s="3">
        <v>0</v>
      </c>
      <c r="C57" s="3">
        <v>0.13187298366505845</v>
      </c>
      <c r="D57" s="3">
        <v>0.51042160137058379</v>
      </c>
      <c r="E57" s="3">
        <v>0.17898112867325394</v>
      </c>
      <c r="F57" s="3">
        <v>0.17872428629110393</v>
      </c>
      <c r="G57" s="3">
        <f t="shared" si="5"/>
        <v>1</v>
      </c>
      <c r="H57" s="4">
        <f t="shared" si="7"/>
        <v>7.8800000000000134E-2</v>
      </c>
      <c r="I57" s="3">
        <f t="array" ref="I57">SQRT(MMULT(MMULT(B57:F57,$B$14:$F$18),TRANSPOSE(B57:F57)))</f>
        <v>7.6929783855025538E-2</v>
      </c>
      <c r="J57" s="3">
        <f t="shared" si="6"/>
        <v>7.879900036422291E-2</v>
      </c>
      <c r="M57" s="3">
        <v>7.6929783855025538E-2</v>
      </c>
      <c r="N57" s="4">
        <f t="shared" si="8"/>
        <v>7.8800000000000134E-2</v>
      </c>
      <c r="O57" s="1"/>
    </row>
    <row r="58" spans="1:15" x14ac:dyDescent="0.2">
      <c r="A58" s="3" t="s">
        <v>49</v>
      </c>
      <c r="B58" s="3">
        <v>0</v>
      </c>
      <c r="C58" s="3">
        <v>0.14060337548221385</v>
      </c>
      <c r="D58" s="3">
        <v>0.49975771213412701</v>
      </c>
      <c r="E58" s="3">
        <v>0.1792683802665016</v>
      </c>
      <c r="F58" s="3">
        <v>0.18037153211715759</v>
      </c>
      <c r="G58" s="3">
        <f t="shared" si="5"/>
        <v>1.0000009999999999</v>
      </c>
      <c r="H58" s="4">
        <f t="shared" si="7"/>
        <v>7.950000000000014E-2</v>
      </c>
      <c r="I58" s="3">
        <f t="array" ref="I58">SQRT(MMULT(MMULT(B58:F58,$B$14:$F$18),TRANSPOSE(B58:F58)))</f>
        <v>7.6702000879257173E-2</v>
      </c>
      <c r="J58" s="3">
        <f t="shared" si="6"/>
        <v>7.9500129765065916E-2</v>
      </c>
      <c r="M58" s="3">
        <v>7.6702000879257173E-2</v>
      </c>
      <c r="N58" s="4">
        <f t="shared" si="8"/>
        <v>7.950000000000014E-2</v>
      </c>
      <c r="O58" s="1"/>
    </row>
    <row r="59" spans="1:15" x14ac:dyDescent="0.2">
      <c r="A59" s="3" t="s">
        <v>50</v>
      </c>
      <c r="B59" s="3">
        <v>0</v>
      </c>
      <c r="C59" s="3">
        <v>0.14932635302948732</v>
      </c>
      <c r="D59" s="3">
        <v>0.48911356246913834</v>
      </c>
      <c r="E59" s="3">
        <v>0.17954982163508276</v>
      </c>
      <c r="F59" s="3">
        <v>0.18201026286629152</v>
      </c>
      <c r="G59" s="3">
        <f t="shared" si="5"/>
        <v>0.99999999999999989</v>
      </c>
      <c r="H59" s="4">
        <f t="shared" si="7"/>
        <v>8.0200000000000146E-2</v>
      </c>
      <c r="I59" s="3">
        <f t="array" ref="I59">SQRT(MMULT(MMULT(B59:F59,$B$14:$F$18),TRANSPOSE(B59:F59)))</f>
        <v>7.6512705677263176E-2</v>
      </c>
      <c r="J59" s="3">
        <f t="shared" si="6"/>
        <v>8.0200000000009902E-2</v>
      </c>
      <c r="M59" s="3">
        <v>7.6512705677263176E-2</v>
      </c>
      <c r="N59" s="4">
        <f t="shared" si="8"/>
        <v>8.0200000000000146E-2</v>
      </c>
      <c r="O59" s="1"/>
    </row>
    <row r="60" spans="1:15" x14ac:dyDescent="0.2">
      <c r="A60" s="3" t="s">
        <v>51</v>
      </c>
      <c r="B60" s="3">
        <v>0</v>
      </c>
      <c r="C60" s="3">
        <v>0.15804347747244496</v>
      </c>
      <c r="D60" s="3">
        <v>0.47846513067379381</v>
      </c>
      <c r="E60" s="3">
        <v>0.17983636717304069</v>
      </c>
      <c r="F60" s="3">
        <v>0.18365502468072059</v>
      </c>
      <c r="G60" s="3">
        <f t="shared" si="5"/>
        <v>1</v>
      </c>
      <c r="H60" s="4">
        <f t="shared" si="7"/>
        <v>8.0900000000000152E-2</v>
      </c>
      <c r="I60" s="3">
        <f t="array" ref="I60">SQRT(MMULT(MMULT(B60:F60,$B$14:$F$18),TRANSPOSE(B60:F60)))</f>
        <v>7.6362015787415777E-2</v>
      </c>
      <c r="J60" s="3">
        <f t="shared" si="6"/>
        <v>8.0900000000009992E-2</v>
      </c>
      <c r="M60" s="3">
        <v>7.6362015787415777E-2</v>
      </c>
      <c r="N60" s="4">
        <f t="shared" si="8"/>
        <v>8.0900000000000152E-2</v>
      </c>
      <c r="O60" s="1"/>
    </row>
    <row r="61" spans="1:15" x14ac:dyDescent="0.2">
      <c r="A61" s="3" t="s">
        <v>52</v>
      </c>
      <c r="B61" s="3">
        <v>0</v>
      </c>
      <c r="C61" s="3">
        <v>0.16675634801875514</v>
      </c>
      <c r="D61" s="3">
        <v>0.46781091450818413</v>
      </c>
      <c r="E61" s="3">
        <v>0.18012729851060144</v>
      </c>
      <c r="F61" s="3">
        <v>0.18530532279284048</v>
      </c>
      <c r="G61" s="3">
        <f t="shared" si="5"/>
        <v>0.99999988383038119</v>
      </c>
      <c r="H61" s="4">
        <f t="shared" si="7"/>
        <v>8.1600000000000159E-2</v>
      </c>
      <c r="I61" s="3">
        <f t="array" ref="I61">SQRT(MMULT(MMULT(B61:F61,$B$14:$F$18),TRANSPOSE(B61:F61)))</f>
        <v>7.6250070743730178E-2</v>
      </c>
      <c r="J61" s="3">
        <f t="shared" si="6"/>
        <v>8.1600129727452578E-2</v>
      </c>
      <c r="M61" s="3">
        <v>7.6250070743730178E-2</v>
      </c>
      <c r="N61" s="4">
        <f t="shared" si="8"/>
        <v>8.1600000000000159E-2</v>
      </c>
      <c r="O61" s="1"/>
    </row>
    <row r="62" spans="1:15" x14ac:dyDescent="0.2">
      <c r="A62" s="3" t="s">
        <v>53</v>
      </c>
      <c r="B62" s="3">
        <v>0</v>
      </c>
      <c r="C62" s="3">
        <v>0.17547774665433988</v>
      </c>
      <c r="D62" s="3">
        <v>0.45716828431826362</v>
      </c>
      <c r="E62" s="3">
        <v>0.18040940572108222</v>
      </c>
      <c r="F62" s="3">
        <v>0.18694456330631434</v>
      </c>
      <c r="G62" s="3">
        <f t="shared" si="5"/>
        <v>1</v>
      </c>
      <c r="H62" s="4">
        <f t="shared" si="7"/>
        <v>8.2300000000000165E-2</v>
      </c>
      <c r="I62" s="3">
        <f t="array" ref="I62">SQRT(MMULT(MMULT(B62:F62,$B$14:$F$18),TRANSPOSE(B62:F62)))</f>
        <v>7.6177123218636039E-2</v>
      </c>
      <c r="J62" s="3">
        <f t="shared" si="6"/>
        <v>8.2300000000010004E-2</v>
      </c>
      <c r="M62" s="3">
        <v>7.6177123218636039E-2</v>
      </c>
      <c r="N62" s="4">
        <f t="shared" si="8"/>
        <v>8.2300000000000165E-2</v>
      </c>
      <c r="O62" s="1"/>
    </row>
    <row r="63" spans="1:15" x14ac:dyDescent="0.2">
      <c r="A63" s="3" t="s">
        <v>54</v>
      </c>
      <c r="B63" s="3">
        <v>0</v>
      </c>
      <c r="C63" s="3">
        <v>0.18417659921376772</v>
      </c>
      <c r="D63" s="3">
        <v>0.44653081329950217</v>
      </c>
      <c r="E63" s="3">
        <v>0.18070055419106337</v>
      </c>
      <c r="F63" s="3">
        <v>0.18859303329566673</v>
      </c>
      <c r="G63" s="3">
        <f t="shared" si="5"/>
        <v>1.0000009999999999</v>
      </c>
      <c r="H63" s="4">
        <f t="shared" si="7"/>
        <v>8.3000000000000171E-2</v>
      </c>
      <c r="I63" s="3">
        <f t="array" ref="I63">SQRT(MMULT(MMULT(B63:F63,$B$14:$F$18),TRANSPOSE(B63:F63)))</f>
        <v>7.6143299131444742E-2</v>
      </c>
      <c r="J63" s="3">
        <f t="shared" si="6"/>
        <v>8.2999129702373955E-2</v>
      </c>
      <c r="M63" s="3">
        <v>7.6143299131444742E-2</v>
      </c>
      <c r="N63" s="4">
        <f t="shared" si="8"/>
        <v>8.3000000000000171E-2</v>
      </c>
      <c r="O63" s="1"/>
    </row>
    <row r="64" spans="1:15" x14ac:dyDescent="0.2">
      <c r="A64" s="3" t="s">
        <v>55</v>
      </c>
      <c r="B64" s="3">
        <v>0</v>
      </c>
      <c r="C64" s="3">
        <v>0.19290901213906778</v>
      </c>
      <c r="D64" s="3">
        <v>0.43586445063354901</v>
      </c>
      <c r="E64" s="3">
        <v>0.18098630219629305</v>
      </c>
      <c r="F64" s="3">
        <v>0.19023923503109014</v>
      </c>
      <c r="G64" s="3">
        <f t="shared" si="5"/>
        <v>0.99999900000000008</v>
      </c>
      <c r="H64" s="4">
        <f t="shared" si="7"/>
        <v>8.3700000000000177E-2</v>
      </c>
      <c r="I64" s="3">
        <f t="array" ref="I64">SQRT(MMULT(MMULT(B64:F64,$B$14:$F$18),TRANSPOSE(B64:F64)))</f>
        <v>7.6148322112053884E-2</v>
      </c>
      <c r="J64" s="3">
        <f t="shared" si="6"/>
        <v>8.3700129689838476E-2</v>
      </c>
      <c r="M64" s="3">
        <v>7.6148322112053884E-2</v>
      </c>
      <c r="N64" s="4">
        <f t="shared" si="8"/>
        <v>8.3700000000000177E-2</v>
      </c>
      <c r="O64" s="1"/>
    </row>
    <row r="65" spans="1:15" x14ac:dyDescent="0.2">
      <c r="A65" s="3" t="s">
        <v>56</v>
      </c>
      <c r="B65" s="3">
        <v>0</v>
      </c>
      <c r="C65" s="3">
        <v>0.20162490158296051</v>
      </c>
      <c r="D65" s="3">
        <v>0.42521723608872752</v>
      </c>
      <c r="E65" s="3">
        <v>0.18127333394213299</v>
      </c>
      <c r="F65" s="3">
        <v>0.19188441221656019</v>
      </c>
      <c r="G65" s="3">
        <f t="shared" si="5"/>
        <v>0.99999988383038119</v>
      </c>
      <c r="H65" s="4">
        <f t="shared" si="7"/>
        <v>8.4400000000000183E-2</v>
      </c>
      <c r="I65" s="3">
        <f t="array" ref="I65">SQRT(MMULT(MMULT(B65:F65,$B$14:$F$18),TRANSPOSE(B65:F65)))</f>
        <v>7.6192681081881916E-2</v>
      </c>
      <c r="J65" s="3">
        <f t="shared" si="6"/>
        <v>8.440012967729664E-2</v>
      </c>
      <c r="M65" s="3">
        <v>7.6192681081881916E-2</v>
      </c>
      <c r="N65" s="4">
        <f t="shared" si="8"/>
        <v>8.4400000000000183E-2</v>
      </c>
      <c r="O65" s="1"/>
    </row>
    <row r="66" spans="1:15" x14ac:dyDescent="0.2">
      <c r="A66" s="3" t="s">
        <v>57</v>
      </c>
      <c r="B66" s="3">
        <v>0</v>
      </c>
      <c r="C66" s="3">
        <v>0.21034202692388815</v>
      </c>
      <c r="D66" s="3">
        <v>0.41456880526743056</v>
      </c>
      <c r="E66" s="3">
        <v>0.18155987759940095</v>
      </c>
      <c r="F66" s="3">
        <v>0.19352917403966149</v>
      </c>
      <c r="G66" s="3">
        <f t="shared" si="5"/>
        <v>0.99999988383038119</v>
      </c>
      <c r="H66" s="4">
        <f t="shared" si="7"/>
        <v>8.5100000000000189E-2</v>
      </c>
      <c r="I66" s="3">
        <f t="array" ref="I66">SQRT(MMULT(MMULT(B66:F66,$B$14:$F$18),TRANSPOSE(B66:F66)))</f>
        <v>7.6276006412702713E-2</v>
      </c>
      <c r="J66" s="3">
        <f t="shared" si="6"/>
        <v>8.5100129664757593E-2</v>
      </c>
      <c r="M66" s="3">
        <v>7.6276006412702713E-2</v>
      </c>
      <c r="N66" s="4">
        <f t="shared" si="8"/>
        <v>8.5100000000000189E-2</v>
      </c>
      <c r="O66" s="1"/>
    </row>
    <row r="67" spans="1:15" x14ac:dyDescent="0.2">
      <c r="A67" s="3" t="s">
        <v>58</v>
      </c>
      <c r="B67" s="3">
        <v>0</v>
      </c>
      <c r="C67" s="3">
        <v>0.2190575982869844</v>
      </c>
      <c r="D67" s="3">
        <v>0.40392191628230434</v>
      </c>
      <c r="E67" s="3">
        <v>0.18184701968185968</v>
      </c>
      <c r="F67" s="3">
        <v>0.19517446574885156</v>
      </c>
      <c r="G67" s="3">
        <f t="shared" si="5"/>
        <v>1.0000009999999999</v>
      </c>
      <c r="H67" s="4">
        <f t="shared" si="7"/>
        <v>8.5800000000000196E-2</v>
      </c>
      <c r="I67" s="3">
        <f t="array" ref="I67">SQRT(MMULT(MMULT(B67:F67,$B$14:$F$18),TRANSPOSE(B67:F67)))</f>
        <v>7.6398300978580511E-2</v>
      </c>
      <c r="J67" s="3">
        <f t="shared" si="6"/>
        <v>8.5800129652215035E-2</v>
      </c>
      <c r="M67" s="3">
        <v>7.6398300978580511E-2</v>
      </c>
      <c r="N67" s="4">
        <f t="shared" si="8"/>
        <v>8.5800000000000196E-2</v>
      </c>
      <c r="O67" s="1"/>
    </row>
    <row r="68" spans="1:15" x14ac:dyDescent="0.2">
      <c r="A68" s="3" t="s">
        <v>59</v>
      </c>
      <c r="B68" s="3">
        <v>0</v>
      </c>
      <c r="C68" s="3">
        <v>0.2277805702785726</v>
      </c>
      <c r="D68" s="3">
        <v>0.39327775868816239</v>
      </c>
      <c r="E68" s="3">
        <v>0.18212848140862473</v>
      </c>
      <c r="F68" s="3">
        <v>0.19681318962464034</v>
      </c>
      <c r="G68" s="3">
        <f t="shared" si="5"/>
        <v>1</v>
      </c>
      <c r="H68" s="4">
        <f t="shared" si="7"/>
        <v>8.6500000000000202E-2</v>
      </c>
      <c r="I68" s="3">
        <f t="array" ref="I68">SQRT(MMULT(MMULT(B68:F68,$B$14:$F$18),TRANSPOSE(B68:F68)))</f>
        <v>7.6559153699004054E-2</v>
      </c>
      <c r="J68" s="3">
        <f t="shared" si="6"/>
        <v>8.6500000000010013E-2</v>
      </c>
      <c r="M68" s="3">
        <v>7.6559153699004054E-2</v>
      </c>
      <c r="N68" s="4">
        <f t="shared" si="8"/>
        <v>8.6500000000000202E-2</v>
      </c>
      <c r="O68" s="1"/>
    </row>
    <row r="69" spans="1:15" x14ac:dyDescent="0.2">
      <c r="A69" s="3" t="s">
        <v>60</v>
      </c>
      <c r="B69" s="3">
        <v>4.9079064330508643E-3</v>
      </c>
      <c r="C69" s="3">
        <v>0.23237347359311381</v>
      </c>
      <c r="D69" s="3">
        <v>0.38380814170158778</v>
      </c>
      <c r="E69" s="3">
        <v>0.18065753983028804</v>
      </c>
      <c r="F69" s="3">
        <v>0.19825293844195951</v>
      </c>
      <c r="G69" s="3">
        <f t="shared" si="5"/>
        <v>1</v>
      </c>
      <c r="H69" s="4">
        <f t="shared" si="7"/>
        <v>8.7200000000000208E-2</v>
      </c>
      <c r="I69" s="3">
        <f t="array" ref="I69">SQRT(MMULT(MMULT(B69:F69,$B$14:$F$18),TRANSPOSE(B69:F69)))</f>
        <v>7.6756234789946101E-2</v>
      </c>
      <c r="J69" s="3">
        <f t="shared" si="6"/>
        <v>8.7200000237983383E-2</v>
      </c>
      <c r="M69" s="3">
        <v>7.6756234789946101E-2</v>
      </c>
      <c r="N69" s="4">
        <f t="shared" si="8"/>
        <v>8.7200000000000208E-2</v>
      </c>
      <c r="O69" s="1"/>
    </row>
    <row r="70" spans="1:15" x14ac:dyDescent="0.2">
      <c r="A70" s="3" t="s">
        <v>61</v>
      </c>
      <c r="B70" s="3">
        <v>1.2340094161572873E-2</v>
      </c>
      <c r="C70" s="3">
        <v>0.23496746358214307</v>
      </c>
      <c r="D70" s="3">
        <v>0.37504154162624498</v>
      </c>
      <c r="E70" s="3">
        <v>0.17802060330885819</v>
      </c>
      <c r="F70" s="3">
        <v>0.19963029732118054</v>
      </c>
      <c r="G70" s="3">
        <f t="shared" si="5"/>
        <v>0.99999999999999967</v>
      </c>
      <c r="H70" s="4">
        <f t="shared" si="7"/>
        <v>8.7900000000000214E-2</v>
      </c>
      <c r="I70" s="3">
        <f t="array" ref="I70">SQRT(MMULT(MMULT(B70:F70,$B$14:$F$18),TRANSPOSE(B70:F70)))</f>
        <v>7.6980480591082284E-2</v>
      </c>
      <c r="J70" s="3">
        <f t="shared" si="6"/>
        <v>8.7900000242361789E-2</v>
      </c>
      <c r="M70" s="3">
        <v>7.6980480591082284E-2</v>
      </c>
      <c r="N70" s="4">
        <f t="shared" si="8"/>
        <v>8.7900000000000214E-2</v>
      </c>
      <c r="O70" s="1"/>
    </row>
    <row r="71" spans="1:15" x14ac:dyDescent="0.2">
      <c r="A71" s="3" t="s">
        <v>62</v>
      </c>
      <c r="B71" s="3">
        <v>1.9924960521375636E-2</v>
      </c>
      <c r="C71" s="3">
        <v>0.23738998073676393</v>
      </c>
      <c r="D71" s="3">
        <v>0.36627672061185162</v>
      </c>
      <c r="E71" s="3">
        <v>0.17542723724457149</v>
      </c>
      <c r="F71" s="3">
        <v>0.20098110088543736</v>
      </c>
      <c r="G71" s="3">
        <f t="shared" si="5"/>
        <v>1.0000000000000002</v>
      </c>
      <c r="H71" s="4">
        <f t="shared" si="7"/>
        <v>8.860000000000022E-2</v>
      </c>
      <c r="I71" s="3">
        <f t="array" ref="I71">SQRT(MMULT(MMULT(B71:F71,$B$14:$F$18),TRANSPOSE(B71:F71)))</f>
        <v>7.723084372860721E-2</v>
      </c>
      <c r="J71" s="3">
        <f t="shared" si="6"/>
        <v>8.8600000246886079E-2</v>
      </c>
      <c r="M71" s="3">
        <v>7.723084372860721E-2</v>
      </c>
      <c r="N71" s="4">
        <f t="shared" si="8"/>
        <v>8.860000000000022E-2</v>
      </c>
      <c r="O71" s="1"/>
    </row>
    <row r="72" spans="1:15" x14ac:dyDescent="0.2">
      <c r="A72" s="3" t="s">
        <v>63</v>
      </c>
      <c r="B72" s="3">
        <v>2.7498989283916857E-2</v>
      </c>
      <c r="C72" s="3">
        <v>0.23980905501923383</v>
      </c>
      <c r="D72" s="3">
        <v>0.35752442884995783</v>
      </c>
      <c r="E72" s="3">
        <v>0.17283757399164881</v>
      </c>
      <c r="F72" s="3">
        <v>0.2023299528552428</v>
      </c>
      <c r="G72" s="3">
        <f t="shared" si="5"/>
        <v>1</v>
      </c>
      <c r="H72" s="4">
        <f t="shared" si="7"/>
        <v>8.9300000000000226E-2</v>
      </c>
      <c r="I72" s="3">
        <f t="array" ref="I72">SQRT(MMULT(MMULT(B72:F72,$B$14:$F$18),TRANSPOSE(B72:F72)))</f>
        <v>7.7506654675076642E-2</v>
      </c>
      <c r="J72" s="3">
        <f t="shared" si="6"/>
        <v>8.9299000251388955E-2</v>
      </c>
      <c r="M72" s="3">
        <v>7.7506654675076642E-2</v>
      </c>
      <c r="N72" s="4">
        <f t="shared" si="8"/>
        <v>8.9300000000000226E-2</v>
      </c>
      <c r="O72" s="1"/>
    </row>
    <row r="73" spans="1:15" x14ac:dyDescent="0.2">
      <c r="A73" s="3" t="s">
        <v>64</v>
      </c>
      <c r="B73" s="3">
        <v>3.5083857053523307E-2</v>
      </c>
      <c r="C73" s="3">
        <v>0.24223142760160138</v>
      </c>
      <c r="D73" s="3">
        <v>0.34875952339809957</v>
      </c>
      <c r="E73" s="3">
        <v>0.17024429763465357</v>
      </c>
      <c r="F73" s="3">
        <v>0.20368089431212222</v>
      </c>
      <c r="G73" s="3">
        <f t="shared" si="5"/>
        <v>1</v>
      </c>
      <c r="H73" s="4">
        <f t="shared" si="7"/>
        <v>9.0000000000000233E-2</v>
      </c>
      <c r="I73" s="3">
        <f t="array" ref="I73">SQRT(MMULT(MMULT(B73:F73,$B$14:$F$18),TRANSPOSE(B73:F73)))</f>
        <v>7.780842751066154E-2</v>
      </c>
      <c r="J73" s="3">
        <f t="shared" si="6"/>
        <v>8.9999000249421757E-2</v>
      </c>
      <c r="M73" s="3">
        <v>7.780842751066154E-2</v>
      </c>
      <c r="N73" s="4">
        <f t="shared" si="8"/>
        <v>9.0000000000000233E-2</v>
      </c>
      <c r="O73" s="1"/>
    </row>
    <row r="74" spans="1:15" x14ac:dyDescent="0.2">
      <c r="A74" s="3" t="s">
        <v>65</v>
      </c>
      <c r="B74" s="3">
        <v>4.2679567698062602E-2</v>
      </c>
      <c r="C74" s="3">
        <v>0.24465740726695248</v>
      </c>
      <c r="D74" s="3">
        <v>0.33998218707361966</v>
      </c>
      <c r="E74" s="3">
        <v>0.1676472333622446</v>
      </c>
      <c r="F74" s="3">
        <v>0.20503360459912073</v>
      </c>
      <c r="G74" s="3">
        <f t="shared" si="5"/>
        <v>1</v>
      </c>
      <c r="H74" s="4">
        <f t="shared" si="7"/>
        <v>9.0700000000000239E-2</v>
      </c>
      <c r="I74" s="3">
        <f t="array" ref="I74">SQRT(MMULT(MMULT(B74:F74,$B$14:$F$18),TRANSPOSE(B74:F74)))</f>
        <v>7.8135974785821877E-2</v>
      </c>
      <c r="J74" s="3">
        <f t="shared" si="6"/>
        <v>9.0700000236267786E-2</v>
      </c>
      <c r="M74" s="3">
        <v>7.8135974785821877E-2</v>
      </c>
      <c r="N74" s="4">
        <f t="shared" si="8"/>
        <v>9.0700000000000239E-2</v>
      </c>
      <c r="O74" s="1"/>
    </row>
    <row r="75" spans="1:15" x14ac:dyDescent="0.2">
      <c r="A75" s="3" t="s">
        <v>66</v>
      </c>
      <c r="B75" s="3">
        <v>5.026445327582077E-2</v>
      </c>
      <c r="C75" s="3">
        <v>0.2470799174426252</v>
      </c>
      <c r="D75" s="3">
        <v>0.331217374423948</v>
      </c>
      <c r="E75" s="3">
        <v>0.16505387036974467</v>
      </c>
      <c r="F75" s="3">
        <v>0.20638438448786151</v>
      </c>
      <c r="G75" s="3">
        <f t="shared" si="5"/>
        <v>1</v>
      </c>
      <c r="H75" s="4">
        <f t="shared" si="7"/>
        <v>9.1400000000000245E-2</v>
      </c>
      <c r="I75" s="3">
        <f t="array" ref="I75">SQRT(MMULT(MMULT(B75:F75,$B$14:$F$18),TRANSPOSE(B75:F75)))</f>
        <v>7.8488045455967936E-2</v>
      </c>
      <c r="J75" s="3">
        <f t="shared" si="6"/>
        <v>9.1400000223092429E-2</v>
      </c>
      <c r="M75" s="3">
        <v>7.8488045455967936E-2</v>
      </c>
      <c r="N75" s="4">
        <f t="shared" si="8"/>
        <v>9.1400000000000245E-2</v>
      </c>
      <c r="O75" s="1"/>
    </row>
    <row r="76" spans="1:15" x14ac:dyDescent="0.2">
      <c r="A76" s="3" t="s">
        <v>67</v>
      </c>
      <c r="B76" s="3">
        <v>5.7849321044138501E-2</v>
      </c>
      <c r="C76" s="3">
        <v>0.24950245520700923</v>
      </c>
      <c r="D76" s="3">
        <v>0.32245256631675639</v>
      </c>
      <c r="E76" s="3">
        <v>0.16246049556317965</v>
      </c>
      <c r="F76" s="3">
        <v>0.20773516186891627</v>
      </c>
      <c r="G76" s="3">
        <f t="shared" si="5"/>
        <v>1</v>
      </c>
      <c r="H76" s="4">
        <f t="shared" si="7"/>
        <v>9.2100000000000251E-2</v>
      </c>
      <c r="I76" s="3">
        <f t="array" ref="I76">SQRT(MMULT(MMULT(B76:F76,$B$14:$F$18),TRANSPOSE(B76:F76)))</f>
        <v>7.8864754337067411E-2</v>
      </c>
      <c r="J76" s="3">
        <f t="shared" si="6"/>
        <v>9.2100000209917154E-2</v>
      </c>
      <c r="M76" s="3">
        <v>7.8864754337067411E-2</v>
      </c>
      <c r="N76" s="4">
        <f t="shared" si="8"/>
        <v>9.2100000000000251E-2</v>
      </c>
      <c r="O76" s="1"/>
    </row>
    <row r="77" spans="1:15" x14ac:dyDescent="0.2">
      <c r="A77" s="3" t="s">
        <v>68</v>
      </c>
      <c r="B77" s="3">
        <v>6.5423384652802188E-2</v>
      </c>
      <c r="C77" s="3">
        <v>0.25192149588909868</v>
      </c>
      <c r="D77" s="3">
        <v>0.31370027856779453</v>
      </c>
      <c r="E77" s="3">
        <v>0.15987083916636116</v>
      </c>
      <c r="F77" s="3">
        <v>0.20908400172394351</v>
      </c>
      <c r="G77" s="3">
        <f t="shared" si="5"/>
        <v>1</v>
      </c>
      <c r="H77" s="4">
        <f t="shared" si="7"/>
        <v>9.2800000000000257E-2</v>
      </c>
      <c r="I77" s="3">
        <f t="array" ref="I77">SQRT(MMULT(MMULT(B77:F77,$B$14:$F$18),TRANSPOSE(B77:F77)))</f>
        <v>7.9265160150371147E-2</v>
      </c>
      <c r="J77" s="3">
        <f t="shared" si="6"/>
        <v>9.2799000196720369E-2</v>
      </c>
      <c r="M77" s="3">
        <v>7.9265160150371147E-2</v>
      </c>
      <c r="N77" s="4">
        <f t="shared" si="8"/>
        <v>9.2800000000000257E-2</v>
      </c>
      <c r="O77" s="1"/>
    </row>
    <row r="78" spans="1:15" x14ac:dyDescent="0.2">
      <c r="A78" s="3" t="s">
        <v>69</v>
      </c>
      <c r="B78" s="3">
        <v>7.3019115919885746E-2</v>
      </c>
      <c r="C78" s="3">
        <v>0.25434747630782045</v>
      </c>
      <c r="D78" s="3">
        <v>0.30492295849648604</v>
      </c>
      <c r="E78" s="3">
        <v>0.15727375162736673</v>
      </c>
      <c r="F78" s="3">
        <v>0.21043669764844111</v>
      </c>
      <c r="G78" s="3">
        <f t="shared" si="5"/>
        <v>1</v>
      </c>
      <c r="H78" s="4">
        <f t="shared" si="7"/>
        <v>9.3500000000000263E-2</v>
      </c>
      <c r="I78" s="3">
        <f t="array" ref="I78">SQRT(MMULT(MMULT(B78:F78,$B$14:$F$18),TRANSPOSE(B78:F78)))</f>
        <v>7.9690666273306066E-2</v>
      </c>
      <c r="J78" s="3">
        <f t="shared" si="6"/>
        <v>9.3500000183566523E-2</v>
      </c>
      <c r="M78" s="3">
        <v>7.9690666273306066E-2</v>
      </c>
      <c r="N78" s="4">
        <f t="shared" si="8"/>
        <v>9.3500000000000263E-2</v>
      </c>
      <c r="O78" s="1"/>
    </row>
    <row r="79" spans="1:15" x14ac:dyDescent="0.2">
      <c r="A79" s="3" t="s">
        <v>70</v>
      </c>
      <c r="B79" s="3">
        <v>8.0593144723456037E-2</v>
      </c>
      <c r="C79" s="3">
        <v>0.2567665843742204</v>
      </c>
      <c r="D79" s="3">
        <v>0.29617068691301124</v>
      </c>
      <c r="E79" s="3">
        <v>0.15468406891018299</v>
      </c>
      <c r="F79" s="3">
        <v>0.21178551507912932</v>
      </c>
      <c r="G79" s="3">
        <f t="shared" si="5"/>
        <v>0.99999999999999989</v>
      </c>
      <c r="H79" s="4">
        <f t="shared" si="7"/>
        <v>9.420000000000027E-2</v>
      </c>
      <c r="I79" s="3">
        <f t="array" ref="I79">SQRT(MMULT(MMULT(B79:F79,$B$14:$F$18),TRANSPOSE(B79:F79)))</f>
        <v>8.0138464952468236E-2</v>
      </c>
      <c r="J79" s="3">
        <f t="shared" si="6"/>
        <v>9.4199000170369765E-2</v>
      </c>
      <c r="M79" s="3">
        <v>8.0138464952468236E-2</v>
      </c>
      <c r="N79" s="4">
        <f t="shared" si="8"/>
        <v>9.420000000000027E-2</v>
      </c>
      <c r="O79" s="1"/>
    </row>
    <row r="80" spans="1:15" x14ac:dyDescent="0.2">
      <c r="A80" s="3" t="s">
        <v>71</v>
      </c>
      <c r="B80" s="3">
        <v>8.8178075439169695E-2</v>
      </c>
      <c r="C80" s="3">
        <v>0.25918914380182978</v>
      </c>
      <c r="D80" s="3">
        <v>0.2874059412623553</v>
      </c>
      <c r="E80" s="3">
        <v>0.15209060039362232</v>
      </c>
      <c r="F80" s="3">
        <v>0.21313623910302293</v>
      </c>
      <c r="G80" s="3">
        <f t="shared" si="5"/>
        <v>1</v>
      </c>
      <c r="H80" s="4">
        <f t="shared" si="7"/>
        <v>9.4900000000000276E-2</v>
      </c>
      <c r="I80" s="3">
        <f t="array" ref="I80">SQRT(MMULT(MMULT(B80:F80,$B$14:$F$18),TRANSPOSE(B80:F80)))</f>
        <v>8.0610035049279535E-2</v>
      </c>
      <c r="J80" s="3">
        <f t="shared" si="6"/>
        <v>9.4899000157194754E-2</v>
      </c>
      <c r="M80" s="3">
        <v>8.0610035049279535E-2</v>
      </c>
      <c r="N80" s="4">
        <f t="shared" si="8"/>
        <v>9.4900000000000276E-2</v>
      </c>
      <c r="O80" s="1"/>
    </row>
    <row r="81" spans="1:15" x14ac:dyDescent="0.2">
      <c r="A81" s="3" t="s">
        <v>72</v>
      </c>
      <c r="B81" s="3">
        <v>9.5762832032010387E-2</v>
      </c>
      <c r="C81" s="3">
        <v>0.26161186893891347</v>
      </c>
      <c r="D81" s="3">
        <v>0.27864118538982657</v>
      </c>
      <c r="E81" s="3">
        <v>0.149497028677187</v>
      </c>
      <c r="F81" s="3">
        <v>0.2144870849620627</v>
      </c>
      <c r="G81" s="3">
        <f t="shared" si="5"/>
        <v>1</v>
      </c>
      <c r="H81" s="4">
        <f t="shared" si="7"/>
        <v>9.5600000000000282E-2</v>
      </c>
      <c r="I81" s="3">
        <f t="array" ref="I81">SQRT(MMULT(MMULT(B81:F81,$B$14:$F$18),TRANSPOSE(B81:F81)))</f>
        <v>8.1104348895316078E-2</v>
      </c>
      <c r="J81" s="3">
        <f t="shared" si="6"/>
        <v>9.5599000144019591E-2</v>
      </c>
      <c r="M81" s="3">
        <v>8.1104348895316078E-2</v>
      </c>
      <c r="N81" s="4">
        <f t="shared" si="8"/>
        <v>9.5600000000000282E-2</v>
      </c>
      <c r="O81" s="1"/>
    </row>
    <row r="82" spans="1:15" x14ac:dyDescent="0.2">
      <c r="A82" s="3" t="s">
        <v>73</v>
      </c>
      <c r="B82" s="3">
        <v>0.10334781915817794</v>
      </c>
      <c r="C82" s="3">
        <v>0.26403425283847526</v>
      </c>
      <c r="D82" s="3">
        <v>0.2698763592633166</v>
      </c>
      <c r="E82" s="3">
        <v>0.14690375891061985</v>
      </c>
      <c r="F82" s="3">
        <v>0.21583780982941042</v>
      </c>
      <c r="G82" s="3">
        <f t="shared" si="5"/>
        <v>1.0000000000000002</v>
      </c>
      <c r="H82" s="4">
        <f t="shared" si="7"/>
        <v>9.6300000000000288E-2</v>
      </c>
      <c r="I82" s="3">
        <f t="array" ref="I82">SQRT(MMULT(MMULT(B82:F82,$B$14:$F$18),TRANSPOSE(B82:F82)))</f>
        <v>8.1620993268902375E-2</v>
      </c>
      <c r="J82" s="3">
        <f t="shared" si="6"/>
        <v>9.629900013084422E-2</v>
      </c>
      <c r="M82" s="3">
        <v>8.1620993268902375E-2</v>
      </c>
      <c r="N82" s="4">
        <f t="shared" si="8"/>
        <v>9.6300000000000288E-2</v>
      </c>
      <c r="O82" s="1"/>
    </row>
    <row r="83" spans="1:15" x14ac:dyDescent="0.2">
      <c r="A83" s="3" t="s">
        <v>74</v>
      </c>
      <c r="B83" s="3">
        <v>0.11093262193263793</v>
      </c>
      <c r="C83" s="3">
        <v>0.26645689700178271</v>
      </c>
      <c r="D83" s="3">
        <v>0.26111158154366865</v>
      </c>
      <c r="E83" s="3">
        <v>0.14431025792556498</v>
      </c>
      <c r="F83" s="3">
        <v>0.21718864159634585</v>
      </c>
      <c r="G83" s="3">
        <f t="shared" si="5"/>
        <v>1</v>
      </c>
      <c r="H83" s="4">
        <f t="shared" si="7"/>
        <v>9.7000000000000294E-2</v>
      </c>
      <c r="I83" s="3">
        <f t="array" ref="I83">SQRT(MMULT(MMULT(B83:F83,$B$14:$F$18),TRANSPOSE(B83:F83)))</f>
        <v>8.2159546907528747E-2</v>
      </c>
      <c r="J83" s="3">
        <f t="shared" si="6"/>
        <v>9.699900011766896E-2</v>
      </c>
      <c r="M83" s="3">
        <v>8.2159546907528747E-2</v>
      </c>
      <c r="N83" s="4">
        <f t="shared" si="8"/>
        <v>9.7000000000000294E-2</v>
      </c>
      <c r="O83" s="1"/>
    </row>
    <row r="84" spans="1:15" x14ac:dyDescent="0.2">
      <c r="A84" s="3" t="s">
        <v>75</v>
      </c>
      <c r="B84" s="3">
        <v>0.11851743532145258</v>
      </c>
      <c r="C84" s="3">
        <v>0.26887947036441767</v>
      </c>
      <c r="D84" s="3">
        <v>0.25234676024678032</v>
      </c>
      <c r="E84" s="3">
        <v>0.14171686433736094</v>
      </c>
      <c r="F84" s="3">
        <v>0.21853946972998856</v>
      </c>
      <c r="G84" s="3">
        <f t="shared" si="5"/>
        <v>1</v>
      </c>
      <c r="H84" s="4">
        <f t="shared" si="7"/>
        <v>9.77000000000003E-2</v>
      </c>
      <c r="I84" s="3">
        <f t="array" ref="I84">SQRT(MMULT(MMULT(B84:F84,$B$14:$F$18),TRANSPOSE(B84:F84)))</f>
        <v>8.2719581885302457E-2</v>
      </c>
      <c r="J84" s="3">
        <f t="shared" si="6"/>
        <v>9.7699000104493505E-2</v>
      </c>
      <c r="M84" s="3">
        <v>8.2719581885302457E-2</v>
      </c>
      <c r="N84" s="4">
        <f t="shared" si="8"/>
        <v>9.77000000000003E-2</v>
      </c>
      <c r="O84" s="1"/>
    </row>
    <row r="85" spans="1:15" x14ac:dyDescent="0.2">
      <c r="A85" s="3" t="s">
        <v>76</v>
      </c>
      <c r="B85" s="3">
        <v>0.12605249011866246</v>
      </c>
      <c r="C85" s="3">
        <v>0.2713729298388961</v>
      </c>
      <c r="D85" s="3">
        <v>0.24357630206558364</v>
      </c>
      <c r="E85" s="3">
        <v>0.13904217446050238</v>
      </c>
      <c r="F85" s="3">
        <v>0.21995610351635536</v>
      </c>
      <c r="G85" s="3">
        <f t="shared" si="5"/>
        <v>1</v>
      </c>
      <c r="H85" s="4">
        <f t="shared" si="7"/>
        <v>9.8400000000000307E-2</v>
      </c>
      <c r="I85" s="3">
        <f t="array" ref="I85">SQRT(MMULT(MMULT(B85:F85,$B$14:$F$18),TRANSPOSE(B85:F85)))</f>
        <v>8.3301511994340174E-2</v>
      </c>
      <c r="J85" s="3">
        <f t="shared" si="6"/>
        <v>9.8400000091352482E-2</v>
      </c>
      <c r="M85" s="3">
        <v>8.3301511994340174E-2</v>
      </c>
      <c r="N85" s="4">
        <f t="shared" si="8"/>
        <v>9.8400000000000307E-2</v>
      </c>
      <c r="O85" s="1"/>
    </row>
    <row r="86" spans="1:15" x14ac:dyDescent="0.2">
      <c r="A86" s="3" t="s">
        <v>77</v>
      </c>
      <c r="B86" s="3">
        <v>0.13363205132587974</v>
      </c>
      <c r="C86" s="3">
        <v>0.2737911350337679</v>
      </c>
      <c r="D86" s="3">
        <v>0.23480741846006253</v>
      </c>
      <c r="E86" s="3">
        <v>0.13643789296059647</v>
      </c>
      <c r="F86" s="3">
        <v>0.22133150221969333</v>
      </c>
      <c r="G86" s="3">
        <f t="shared" si="5"/>
        <v>1</v>
      </c>
      <c r="H86" s="4">
        <f t="shared" si="7"/>
        <v>9.9100000000000313E-2</v>
      </c>
      <c r="I86" s="3">
        <f t="array" ref="I86">SQRT(MMULT(MMULT(B86:F86,$B$14:$F$18),TRANSPOSE(B86:F86)))</f>
        <v>8.3903236060352951E-2</v>
      </c>
      <c r="J86" s="3">
        <f t="shared" si="6"/>
        <v>9.9100000078165662E-2</v>
      </c>
      <c r="M86" s="3">
        <v>8.3903236060352951E-2</v>
      </c>
      <c r="N86" s="4">
        <f t="shared" si="8"/>
        <v>9.9100000000000313E-2</v>
      </c>
      <c r="O86" s="1"/>
    </row>
    <row r="87" spans="1:15" x14ac:dyDescent="0.2">
      <c r="A87" s="3" t="s">
        <v>78</v>
      </c>
      <c r="B87" s="3">
        <v>0.14123232903375038</v>
      </c>
      <c r="C87" s="3">
        <v>0.27619198719835264</v>
      </c>
      <c r="D87" s="3">
        <v>0.22604284120719342</v>
      </c>
      <c r="E87" s="3">
        <v>0.13383151221696934</v>
      </c>
      <c r="F87" s="3">
        <v>0.22270133034373416</v>
      </c>
      <c r="G87" s="3">
        <f t="shared" si="5"/>
        <v>1</v>
      </c>
      <c r="H87" s="4">
        <f t="shared" si="7"/>
        <v>9.9800000000000319E-2</v>
      </c>
      <c r="I87" s="3">
        <f t="array" ref="I87">SQRT(MMULT(MMULT(B87:F87,$B$14:$F$18),TRANSPOSE(B87:F87)))</f>
        <v>8.4525129816895569E-2</v>
      </c>
      <c r="J87" s="3">
        <f t="shared" si="6"/>
        <v>9.9800000065018324E-2</v>
      </c>
      <c r="M87" s="3">
        <v>8.4525129816895569E-2</v>
      </c>
      <c r="N87" s="4">
        <f t="shared" si="8"/>
        <v>9.9800000000000319E-2</v>
      </c>
      <c r="O87" s="1"/>
    </row>
    <row r="88" spans="1:15" x14ac:dyDescent="0.2">
      <c r="A88" s="3" t="s">
        <v>79</v>
      </c>
      <c r="B88" s="3">
        <v>0.14886407369156335</v>
      </c>
      <c r="C88" s="3">
        <v>0.27857149011596832</v>
      </c>
      <c r="D88" s="3">
        <v>0.21728578989224173</v>
      </c>
      <c r="E88" s="3">
        <v>0.1312338956656966</v>
      </c>
      <c r="F88" s="3">
        <v>0.22404475063453008</v>
      </c>
      <c r="G88" s="3">
        <f t="shared" ref="G88:G122" si="9">SUM(B88:F88)</f>
        <v>1</v>
      </c>
      <c r="H88" s="4">
        <f t="shared" si="7"/>
        <v>0.10050000000000033</v>
      </c>
      <c r="I88" s="3">
        <f t="array" ref="I88">SQRT(MMULT(MMULT(B88:F88,$B$14:$F$18),TRANSPOSE(B88:F88)))</f>
        <v>8.5166750093560478E-2</v>
      </c>
      <c r="J88" s="3">
        <f t="shared" ref="J88:J122" si="10">MMULT(B88:F88,$B$2:$B$6)</f>
        <v>0.10050000005188464</v>
      </c>
      <c r="M88" s="3">
        <v>8.5166750093560478E-2</v>
      </c>
      <c r="N88" s="4">
        <f t="shared" si="8"/>
        <v>0.10050000000000033</v>
      </c>
      <c r="O88" s="1"/>
    </row>
    <row r="89" spans="1:15" x14ac:dyDescent="0.2">
      <c r="A89" s="3" t="s">
        <v>80</v>
      </c>
      <c r="B89" s="3">
        <v>0.15649328994292488</v>
      </c>
      <c r="C89" s="3">
        <v>0.28096225614950737</v>
      </c>
      <c r="D89" s="3">
        <v>0.20852422694679815</v>
      </c>
      <c r="E89" s="3">
        <v>0.12870245219416437</v>
      </c>
      <c r="F89" s="3">
        <v>0.22531777476660519</v>
      </c>
      <c r="G89" s="3">
        <f t="shared" si="9"/>
        <v>0.99999999999999989</v>
      </c>
      <c r="H89" s="4">
        <f t="shared" ref="H89:H117" si="11">H88+0.0007</f>
        <v>0.10120000000000033</v>
      </c>
      <c r="I89" s="3">
        <f t="array" ref="I89">SQRT(MMULT(MMULT(B89:F89,$B$14:$F$18),TRANSPOSE(B89:F89)))</f>
        <v>8.5827653917702557E-2</v>
      </c>
      <c r="J89" s="3">
        <f t="shared" si="10"/>
        <v>0.10120000003868333</v>
      </c>
      <c r="M89" s="3">
        <v>8.5827653917702557E-2</v>
      </c>
      <c r="N89" s="4">
        <f t="shared" ref="N89:N117" si="12">N88+0.0007</f>
        <v>0.10120000000000033</v>
      </c>
      <c r="O89" s="1"/>
    </row>
    <row r="90" spans="1:15" x14ac:dyDescent="0.2">
      <c r="A90" s="3" t="s">
        <v>81</v>
      </c>
      <c r="B90" s="3">
        <v>0.16386624421909243</v>
      </c>
      <c r="C90" s="3">
        <v>0.28354600562825011</v>
      </c>
      <c r="D90" s="3">
        <v>0.19969419791221985</v>
      </c>
      <c r="E90" s="3">
        <v>0.1262286169579456</v>
      </c>
      <c r="F90" s="3">
        <v>0.2266649352824921</v>
      </c>
      <c r="G90" s="3">
        <f t="shared" si="9"/>
        <v>1</v>
      </c>
      <c r="H90" s="4">
        <f t="shared" si="11"/>
        <v>0.10190000000000034</v>
      </c>
      <c r="I90" s="3">
        <f t="array" ref="I90">SQRT(MMULT(MMULT(B90:F90,$B$14:$F$18),TRANSPOSE(B90:F90)))</f>
        <v>8.650740671329997E-2</v>
      </c>
      <c r="J90" s="3">
        <f t="shared" si="10"/>
        <v>0.10190000002495961</v>
      </c>
      <c r="M90" s="3">
        <v>8.650740671329997E-2</v>
      </c>
      <c r="N90" s="4">
        <f t="shared" si="12"/>
        <v>0.10190000000000034</v>
      </c>
      <c r="O90" s="1"/>
    </row>
    <row r="91" spans="1:15" x14ac:dyDescent="0.2">
      <c r="A91" s="3" t="s">
        <v>82</v>
      </c>
      <c r="B91" s="3">
        <v>0.17139004757642848</v>
      </c>
      <c r="C91" s="3">
        <v>0.28600373381145766</v>
      </c>
      <c r="D91" s="3">
        <v>0.19091124062199696</v>
      </c>
      <c r="E91" s="3">
        <v>0.12362101077087709</v>
      </c>
      <c r="F91" s="3">
        <v>0.22807396721923967</v>
      </c>
      <c r="G91" s="3">
        <f t="shared" si="9"/>
        <v>0.99999999999999978</v>
      </c>
      <c r="H91" s="4">
        <f t="shared" si="11"/>
        <v>0.10260000000000034</v>
      </c>
      <c r="I91" s="3">
        <f t="array" ref="I91">SQRT(MMULT(MMULT(B91:F91,$B$14:$F$18),TRANSPOSE(B91:F91)))</f>
        <v>8.720556347754084E-2</v>
      </c>
      <c r="J91" s="3">
        <f t="shared" si="10"/>
        <v>0.10260000001166511</v>
      </c>
      <c r="M91" s="3">
        <v>8.720556347754084E-2</v>
      </c>
      <c r="N91" s="4">
        <f t="shared" si="12"/>
        <v>0.10260000000000034</v>
      </c>
      <c r="O91" s="1"/>
    </row>
    <row r="92" spans="1:15" x14ac:dyDescent="0.2">
      <c r="A92" s="3" t="s">
        <v>83</v>
      </c>
      <c r="B92" s="3">
        <v>0.17899551581854545</v>
      </c>
      <c r="C92" s="3">
        <v>0.28840403446012924</v>
      </c>
      <c r="D92" s="3">
        <v>0.18215170751490345</v>
      </c>
      <c r="E92" s="3">
        <v>0.12099862719105267</v>
      </c>
      <c r="F92" s="3">
        <v>0.22945011501536919</v>
      </c>
      <c r="G92" s="3">
        <f t="shared" si="9"/>
        <v>1</v>
      </c>
      <c r="H92" s="4">
        <f t="shared" si="11"/>
        <v>0.10330000000000035</v>
      </c>
      <c r="I92" s="3">
        <f t="array" ref="I92">SQRT(MMULT(MMULT(B92:F92,$B$14:$F$18),TRANSPOSE(B92:F92)))</f>
        <v>8.7921681762276091E-2</v>
      </c>
      <c r="J92" s="3">
        <f t="shared" si="10"/>
        <v>0.10329999999855258</v>
      </c>
      <c r="M92" s="3">
        <v>8.7921681762276091E-2</v>
      </c>
      <c r="N92" s="4">
        <f t="shared" si="12"/>
        <v>0.10330000000000035</v>
      </c>
      <c r="O92" s="1"/>
    </row>
    <row r="93" spans="1:15" x14ac:dyDescent="0.2">
      <c r="A93" s="3" t="s">
        <v>84</v>
      </c>
      <c r="B93" s="3">
        <v>0.18657925060869723</v>
      </c>
      <c r="C93" s="3">
        <v>0.29082145605871718</v>
      </c>
      <c r="D93" s="3">
        <v>0.17338458305122609</v>
      </c>
      <c r="E93" s="3">
        <v>0.11839766457820297</v>
      </c>
      <c r="F93" s="3">
        <v>0.23081704570315659</v>
      </c>
      <c r="G93" s="3">
        <f t="shared" si="9"/>
        <v>1</v>
      </c>
      <c r="H93" s="4">
        <f t="shared" si="11"/>
        <v>0.10400000000000036</v>
      </c>
      <c r="I93" s="3">
        <f t="array" ref="I93">SQRT(MMULT(MMULT(B93:F93,$B$14:$F$18),TRANSPOSE(B93:F93)))</f>
        <v>8.8655329933064769E-2</v>
      </c>
      <c r="J93" s="3">
        <f t="shared" si="10"/>
        <v>0.1039999999853739</v>
      </c>
      <c r="M93" s="3">
        <v>8.8655329933064769E-2</v>
      </c>
      <c r="N93" s="4">
        <f t="shared" si="12"/>
        <v>0.10400000000000036</v>
      </c>
      <c r="O93" s="1"/>
    </row>
    <row r="94" spans="1:15" x14ac:dyDescent="0.2">
      <c r="A94" s="3" t="s">
        <v>85</v>
      </c>
      <c r="B94" s="3">
        <v>0.19415301542450181</v>
      </c>
      <c r="C94" s="3">
        <v>0.29324574710875717</v>
      </c>
      <c r="D94" s="3">
        <v>0.16461383370693272</v>
      </c>
      <c r="E94" s="3">
        <v>0.1158037889683274</v>
      </c>
      <c r="F94" s="3">
        <v>0.23218361479148075</v>
      </c>
      <c r="G94" s="3">
        <f t="shared" si="9"/>
        <v>0.99999999999999989</v>
      </c>
      <c r="H94" s="4">
        <f t="shared" si="11"/>
        <v>0.10470000000000036</v>
      </c>
      <c r="I94" s="3">
        <f t="array" ref="I94">SQRT(MMULT(MMULT(B94:F94,$B$14:$F$18),TRANSPOSE(B94:F94)))</f>
        <v>8.9406076313888277E-2</v>
      </c>
      <c r="J94" s="3">
        <f t="shared" si="10"/>
        <v>0.10469999997216646</v>
      </c>
      <c r="M94" s="3">
        <v>8.9406076313888277E-2</v>
      </c>
      <c r="N94" s="4">
        <f t="shared" si="12"/>
        <v>0.10470000000000036</v>
      </c>
      <c r="O94" s="1"/>
    </row>
    <row r="95" spans="1:15" x14ac:dyDescent="0.2">
      <c r="A95" s="3" t="s">
        <v>86</v>
      </c>
      <c r="B95" s="3">
        <v>0.20174823908152376</v>
      </c>
      <c r="C95" s="3">
        <v>0.29565846085152769</v>
      </c>
      <c r="D95" s="3">
        <v>0.15585129965563316</v>
      </c>
      <c r="E95" s="3">
        <v>0.11320397354672151</v>
      </c>
      <c r="F95" s="3">
        <v>0.23353802686459382</v>
      </c>
      <c r="G95" s="3">
        <f t="shared" si="9"/>
        <v>0.99999999999999989</v>
      </c>
      <c r="H95" s="4">
        <f t="shared" si="11"/>
        <v>0.10540000000000037</v>
      </c>
      <c r="I95" s="3">
        <f t="array" ref="I95">SQRT(MMULT(MMULT(B95:F95,$B$14:$F$18),TRANSPOSE(B95:F95)))</f>
        <v>9.017349193890456E-2</v>
      </c>
      <c r="J95" s="3">
        <f t="shared" si="10"/>
        <v>0.10539999995901529</v>
      </c>
      <c r="M95" s="3">
        <v>9.017349193890456E-2</v>
      </c>
      <c r="N95" s="4">
        <f t="shared" si="12"/>
        <v>0.10540000000000037</v>
      </c>
      <c r="O95" s="1"/>
    </row>
    <row r="96" spans="1:15" x14ac:dyDescent="0.2">
      <c r="A96" s="3" t="s">
        <v>87</v>
      </c>
      <c r="B96" s="3">
        <v>0.20954658010744229</v>
      </c>
      <c r="C96" s="3">
        <v>0.2979533487572702</v>
      </c>
      <c r="D96" s="3">
        <v>0.14715644867076275</v>
      </c>
      <c r="E96" s="3">
        <v>0.1105927411692979</v>
      </c>
      <c r="F96" s="3">
        <v>0.23475088129522698</v>
      </c>
      <c r="G96" s="3">
        <f t="shared" si="9"/>
        <v>1.0000000000000002</v>
      </c>
      <c r="H96" s="4">
        <f t="shared" si="11"/>
        <v>0.10610000000000037</v>
      </c>
      <c r="I96" s="3">
        <f t="array" ref="I96">SQRT(MMULT(MMULT(B96:F96,$B$14:$F$18),TRANSPOSE(B96:F96)))</f>
        <v>9.0957148314361733E-2</v>
      </c>
      <c r="J96" s="3">
        <f t="shared" si="10"/>
        <v>0.10609999994632921</v>
      </c>
      <c r="M96" s="3">
        <v>9.0957148314361733E-2</v>
      </c>
      <c r="N96" s="4">
        <f t="shared" si="12"/>
        <v>0.10610000000000037</v>
      </c>
      <c r="O96" s="1"/>
    </row>
    <row r="97" spans="1:15" x14ac:dyDescent="0.2">
      <c r="A97" s="3" t="s">
        <v>88</v>
      </c>
      <c r="B97" s="3">
        <v>0.21713146613967343</v>
      </c>
      <c r="C97" s="3">
        <v>0.30037585037996034</v>
      </c>
      <c r="D97" s="3">
        <v>0.13839163314361902</v>
      </c>
      <c r="E97" s="3">
        <v>0.10799936903434811</v>
      </c>
      <c r="F97" s="3">
        <v>0.23610168130239914</v>
      </c>
      <c r="G97" s="3">
        <f t="shared" si="9"/>
        <v>1</v>
      </c>
      <c r="H97" s="4">
        <f t="shared" si="11"/>
        <v>0.10680000000000038</v>
      </c>
      <c r="I97" s="3">
        <f t="array" ref="I97">SQRT(MMULT(MMULT(B97:F97,$B$14:$F$18),TRANSPOSE(B97:F97)))</f>
        <v>9.1756645359436423E-2</v>
      </c>
      <c r="J97" s="3">
        <f t="shared" si="10"/>
        <v>0.10679999993315381</v>
      </c>
      <c r="M97" s="3">
        <v>9.1756645359436423E-2</v>
      </c>
      <c r="N97" s="4">
        <f t="shared" si="12"/>
        <v>0.10680000000000038</v>
      </c>
      <c r="O97" s="1"/>
    </row>
    <row r="98" spans="1:15" x14ac:dyDescent="0.2">
      <c r="A98" s="3" t="s">
        <v>89</v>
      </c>
      <c r="B98" s="3">
        <v>0.22472724928447135</v>
      </c>
      <c r="C98" s="3">
        <v>0.30280168400841223</v>
      </c>
      <c r="D98" s="3">
        <v>0.12961425161331749</v>
      </c>
      <c r="E98" s="3">
        <v>0.1054024254592834</v>
      </c>
      <c r="F98" s="3">
        <v>0.23745438963451557</v>
      </c>
      <c r="G98" s="3">
        <f t="shared" si="9"/>
        <v>1</v>
      </c>
      <c r="H98" s="4">
        <f t="shared" si="11"/>
        <v>0.10750000000000039</v>
      </c>
      <c r="I98" s="3">
        <f t="array" ref="I98">SQRT(MMULT(MMULT(B98:F98,$B$14:$F$18),TRANSPOSE(B98:F98)))</f>
        <v>9.2572739644495333E-2</v>
      </c>
      <c r="J98" s="3">
        <f t="shared" si="10"/>
        <v>0.10750099991999972</v>
      </c>
      <c r="M98" s="3">
        <v>9.2572739644495333E-2</v>
      </c>
      <c r="N98" s="4">
        <f t="shared" si="12"/>
        <v>0.10750000000000039</v>
      </c>
      <c r="O98" s="1"/>
    </row>
    <row r="99" spans="1:15" x14ac:dyDescent="0.2">
      <c r="A99" s="3" t="s">
        <v>90</v>
      </c>
      <c r="B99" s="3">
        <v>0.23230118940660116</v>
      </c>
      <c r="C99" s="3">
        <v>0.30522093734259742</v>
      </c>
      <c r="D99" s="3">
        <v>0.12086201771114451</v>
      </c>
      <c r="E99" s="3">
        <v>0.10281259975393783</v>
      </c>
      <c r="F99" s="3">
        <v>0.23880325578571918</v>
      </c>
      <c r="G99" s="3">
        <f t="shared" si="9"/>
        <v>1</v>
      </c>
      <c r="H99" s="4">
        <f t="shared" si="11"/>
        <v>0.10820000000000039</v>
      </c>
      <c r="I99" s="3">
        <f t="array" ref="I99">SQRT(MMULT(MMULT(B99:F99,$B$14:$F$18),TRANSPOSE(B99:F99)))</f>
        <v>9.3401502472029121E-2</v>
      </c>
      <c r="J99" s="3">
        <f t="shared" si="10"/>
        <v>0.1081999999068031</v>
      </c>
      <c r="M99" s="3">
        <v>9.3401502472029121E-2</v>
      </c>
      <c r="N99" s="4">
        <f t="shared" si="12"/>
        <v>0.10820000000000039</v>
      </c>
      <c r="O99" s="1"/>
    </row>
    <row r="100" spans="1:15" x14ac:dyDescent="0.2">
      <c r="A100" s="3" t="s">
        <v>91</v>
      </c>
      <c r="B100" s="3">
        <v>0.2398860762215316</v>
      </c>
      <c r="C100" s="3">
        <v>0.30764344691417111</v>
      </c>
      <c r="D100" s="3">
        <v>0.11209720835969625</v>
      </c>
      <c r="E100" s="3">
        <v>0.10021921513352366</v>
      </c>
      <c r="F100" s="3">
        <v>0.24015405337107737</v>
      </c>
      <c r="G100" s="3">
        <f t="shared" si="9"/>
        <v>1</v>
      </c>
      <c r="H100" s="4">
        <f t="shared" si="11"/>
        <v>0.1089000000000004</v>
      </c>
      <c r="I100" s="3">
        <f t="array" ref="I100">SQRT(MMULT(MMULT(B100:F100,$B$14:$F$18),TRANSPOSE(B100:F100)))</f>
        <v>9.4246062105057871E-2</v>
      </c>
      <c r="J100" s="3">
        <f t="shared" si="10"/>
        <v>0.10889999989362774</v>
      </c>
      <c r="M100" s="3">
        <v>9.4246062105057871E-2</v>
      </c>
      <c r="N100" s="4">
        <f t="shared" si="12"/>
        <v>0.1089000000000004</v>
      </c>
      <c r="O100" s="1"/>
    </row>
    <row r="101" spans="1:15" x14ac:dyDescent="0.2">
      <c r="A101" s="3" t="s">
        <v>92</v>
      </c>
      <c r="B101" s="3">
        <v>0.24747091562242748</v>
      </c>
      <c r="C101" s="3">
        <v>0.31006601761819447</v>
      </c>
      <c r="D101" s="3">
        <v>0.10333239960630425</v>
      </c>
      <c r="E101" s="3">
        <v>9.7625838835060069E-2</v>
      </c>
      <c r="F101" s="3">
        <v>0.24150482831801376</v>
      </c>
      <c r="G101" s="3">
        <f t="shared" si="9"/>
        <v>1</v>
      </c>
      <c r="H101" s="4">
        <f t="shared" si="11"/>
        <v>0.10960000000000041</v>
      </c>
      <c r="I101" s="3">
        <f t="array" ref="I101">SQRT(MMULT(MMULT(B101:F101,$B$14:$F$18),TRANSPOSE(B101:F101)))</f>
        <v>9.5104853997939262E-2</v>
      </c>
      <c r="J101" s="3">
        <f t="shared" si="10"/>
        <v>0.10959999988045235</v>
      </c>
      <c r="M101" s="3">
        <v>9.5104853997939262E-2</v>
      </c>
      <c r="N101" s="4">
        <f t="shared" si="12"/>
        <v>0.10960000000000041</v>
      </c>
      <c r="O101" s="1"/>
    </row>
    <row r="102" spans="1:15" x14ac:dyDescent="0.2">
      <c r="A102" s="3" t="s">
        <v>93</v>
      </c>
      <c r="B102" s="3">
        <v>0.25505578587499655</v>
      </c>
      <c r="C102" s="3">
        <v>0.31248853917472447</v>
      </c>
      <c r="D102" s="3">
        <v>9.4567583583774484E-2</v>
      </c>
      <c r="E102" s="3">
        <v>9.5032473164904915E-2</v>
      </c>
      <c r="F102" s="3">
        <v>0.24285561820159945</v>
      </c>
      <c r="G102" s="3">
        <f t="shared" si="9"/>
        <v>0.99999999999999978</v>
      </c>
      <c r="H102" s="4">
        <f t="shared" si="11"/>
        <v>0.11030000000000041</v>
      </c>
      <c r="I102" s="3">
        <f t="array" ref="I102">SQRT(MMULT(MMULT(B102:F102,$B$14:$F$18),TRANSPOSE(B102:F102)))</f>
        <v>9.5977496107204102E-2</v>
      </c>
      <c r="J102" s="3">
        <f t="shared" si="10"/>
        <v>0.11029999986727693</v>
      </c>
      <c r="M102" s="3">
        <v>9.5977496107204102E-2</v>
      </c>
      <c r="N102" s="4">
        <f t="shared" si="12"/>
        <v>0.11030000000000041</v>
      </c>
      <c r="O102" s="1"/>
    </row>
    <row r="103" spans="1:15" x14ac:dyDescent="0.2">
      <c r="A103" s="3" t="s">
        <v>94</v>
      </c>
      <c r="B103" s="3">
        <v>0.26265151652011531</v>
      </c>
      <c r="C103" s="3">
        <v>0.31491450960347367</v>
      </c>
      <c r="D103" s="3">
        <v>8.5790260387178088E-2</v>
      </c>
      <c r="E103" s="3">
        <v>9.2435367689640752E-2</v>
      </c>
      <c r="F103" s="3">
        <v>0.24420834579959219</v>
      </c>
      <c r="G103" s="3">
        <f t="shared" si="9"/>
        <v>1</v>
      </c>
      <c r="H103" s="4">
        <f t="shared" si="11"/>
        <v>0.11100000000000042</v>
      </c>
      <c r="I103" s="3">
        <f t="array" ref="I103">SQRT(MMULT(MMULT(B103:F103,$B$14:$F$18),TRANSPOSE(B103:F103)))</f>
        <v>9.6864889451190053E-2</v>
      </c>
      <c r="J103" s="3">
        <f t="shared" si="10"/>
        <v>0.11100099985412307</v>
      </c>
      <c r="M103" s="3">
        <v>9.6864889451190053E-2</v>
      </c>
      <c r="N103" s="4">
        <f t="shared" si="12"/>
        <v>0.11100000000000042</v>
      </c>
      <c r="O103" s="1"/>
    </row>
    <row r="104" spans="1:15" x14ac:dyDescent="0.2">
      <c r="A104" s="3" t="s">
        <v>95</v>
      </c>
      <c r="B104" s="3">
        <v>0.2702255282769101</v>
      </c>
      <c r="C104" s="3">
        <v>0.31733359969912273</v>
      </c>
      <c r="D104" s="3">
        <v>7.7037965629005625E-2</v>
      </c>
      <c r="E104" s="3">
        <v>8.9845711048678126E-2</v>
      </c>
      <c r="F104" s="3">
        <v>0.24555719534628351</v>
      </c>
      <c r="G104" s="3">
        <f t="shared" si="9"/>
        <v>1</v>
      </c>
      <c r="H104" s="4">
        <f t="shared" si="11"/>
        <v>0.11170000000000042</v>
      </c>
      <c r="I104" s="3">
        <f t="array" ref="I104">SQRT(MMULT(MMULT(B104:F104,$B$14:$F$18),TRANSPOSE(B104:F104)))</f>
        <v>9.7762841556635505E-2</v>
      </c>
      <c r="J104" s="3">
        <f t="shared" si="10"/>
        <v>0.11169999984092623</v>
      </c>
      <c r="M104" s="3">
        <v>9.7762841556635505E-2</v>
      </c>
      <c r="N104" s="4">
        <f t="shared" si="12"/>
        <v>0.11170000000000042</v>
      </c>
      <c r="O104" s="1"/>
    </row>
    <row r="105" spans="1:15" x14ac:dyDescent="0.2">
      <c r="A105" s="3" t="s">
        <v>96</v>
      </c>
      <c r="B105" s="3">
        <v>0.27781041205766088</v>
      </c>
      <c r="C105" s="3">
        <v>0.31975611904968371</v>
      </c>
      <c r="D105" s="3">
        <v>6.8273160585453241E-2</v>
      </c>
      <c r="E105" s="3">
        <v>8.7252317208100102E-2</v>
      </c>
      <c r="F105" s="3">
        <v>0.24690799109910205</v>
      </c>
      <c r="G105" s="3">
        <f t="shared" si="9"/>
        <v>1</v>
      </c>
      <c r="H105" s="4">
        <f t="shared" si="11"/>
        <v>0.11240000000000043</v>
      </c>
      <c r="I105" s="3">
        <f t="array" ref="I105">SQRT(MMULT(MMULT(B105:F105,$B$14:$F$18),TRANSPOSE(B105:F105)))</f>
        <v>9.867482006270932E-2</v>
      </c>
      <c r="J105" s="3">
        <f t="shared" si="10"/>
        <v>0.11239999982775091</v>
      </c>
      <c r="M105" s="3">
        <v>9.867482006270932E-2</v>
      </c>
      <c r="N105" s="4">
        <f t="shared" si="12"/>
        <v>0.11240000000000043</v>
      </c>
      <c r="O105" s="1"/>
    </row>
    <row r="106" spans="1:15" x14ac:dyDescent="0.2">
      <c r="A106" s="3" t="s">
        <v>97</v>
      </c>
      <c r="B106" s="3">
        <v>0.285395257314772</v>
      </c>
      <c r="C106" s="3">
        <v>0.32217867115589821</v>
      </c>
      <c r="D106" s="3">
        <v>5.9508343597658248E-2</v>
      </c>
      <c r="E106" s="3">
        <v>8.4658959168053535E-2</v>
      </c>
      <c r="F106" s="3">
        <v>0.24825876876361808</v>
      </c>
      <c r="G106" s="3">
        <f t="shared" si="9"/>
        <v>1</v>
      </c>
      <c r="H106" s="4">
        <f t="shared" si="11"/>
        <v>0.11310000000000044</v>
      </c>
      <c r="I106" s="3">
        <f t="array" ref="I106">SQRT(MMULT(MMULT(B106:F106,$B$14:$F$18),TRANSPOSE(B106:F106)))</f>
        <v>9.9599199359077156E-2</v>
      </c>
      <c r="J106" s="3">
        <f t="shared" si="10"/>
        <v>0.11309999981457547</v>
      </c>
      <c r="M106" s="3">
        <v>9.9599199359077156E-2</v>
      </c>
      <c r="N106" s="4">
        <f t="shared" si="12"/>
        <v>0.11310000000000044</v>
      </c>
      <c r="O106" s="1"/>
    </row>
    <row r="107" spans="1:15" x14ac:dyDescent="0.2">
      <c r="A107" s="3" t="s">
        <v>98</v>
      </c>
      <c r="B107" s="3">
        <v>0.29299101961568957</v>
      </c>
      <c r="C107" s="3">
        <v>0.32460460337726577</v>
      </c>
      <c r="D107" s="3">
        <v>5.0731021715625477E-2</v>
      </c>
      <c r="E107" s="3">
        <v>8.2061845202691344E-2</v>
      </c>
      <c r="F107" s="3">
        <v>0.24961151008872784</v>
      </c>
      <c r="G107" s="3">
        <f t="shared" si="9"/>
        <v>1</v>
      </c>
      <c r="H107" s="4">
        <f t="shared" si="11"/>
        <v>0.11380000000000044</v>
      </c>
      <c r="I107" s="3">
        <f t="array" ref="I107">SQRT(MMULT(MMULT(B107:F107,$B$14:$F$18),TRANSPOSE(B107:F107)))</f>
        <v>0.10053698362156288</v>
      </c>
      <c r="J107" s="3">
        <f t="shared" si="10"/>
        <v>0.11380099980142162</v>
      </c>
      <c r="M107" s="3">
        <v>0.10053698362156288</v>
      </c>
      <c r="N107" s="4">
        <f t="shared" si="12"/>
        <v>0.11380000000000044</v>
      </c>
      <c r="O107" s="1"/>
    </row>
    <row r="108" spans="1:15" x14ac:dyDescent="0.2">
      <c r="A108" s="3" t="s">
        <v>99</v>
      </c>
      <c r="B108" s="3">
        <v>0.30057583123163245</v>
      </c>
      <c r="C108" s="3">
        <v>0.32702720080143455</v>
      </c>
      <c r="D108" s="3">
        <v>4.1966207022787416E-2</v>
      </c>
      <c r="E108" s="3">
        <v>7.9468486357770138E-2</v>
      </c>
      <c r="F108" s="3">
        <v>0.25096227458637538</v>
      </c>
      <c r="G108" s="3">
        <f t="shared" si="9"/>
        <v>1</v>
      </c>
      <c r="H108" s="4">
        <f t="shared" si="11"/>
        <v>0.11450000000000045</v>
      </c>
      <c r="I108" s="3">
        <f t="array" ref="I108">SQRT(MMULT(MMULT(B108:F108,$B$14:$F$18),TRANSPOSE(B108:F108)))</f>
        <v>0.1014851630831175</v>
      </c>
      <c r="J108" s="3">
        <f t="shared" si="10"/>
        <v>0.11450099978824615</v>
      </c>
      <c r="M108" s="3">
        <v>0.1014851630831175</v>
      </c>
      <c r="N108" s="4">
        <f t="shared" si="12"/>
        <v>0.11450000000000045</v>
      </c>
      <c r="O108" s="1"/>
    </row>
    <row r="109" spans="1:15" x14ac:dyDescent="0.2">
      <c r="A109" s="3" t="s">
        <v>100</v>
      </c>
      <c r="B109" s="3">
        <v>0.30815024773128991</v>
      </c>
      <c r="C109" s="3">
        <v>0.32944603924343302</v>
      </c>
      <c r="D109" s="3">
        <v>3.3214068579764895E-2</v>
      </c>
      <c r="E109" s="3">
        <v>7.6878577949852048E-2</v>
      </c>
      <c r="F109" s="3">
        <v>0.25231106649566004</v>
      </c>
      <c r="G109" s="3">
        <f t="shared" si="9"/>
        <v>1</v>
      </c>
      <c r="H109" s="4">
        <f t="shared" si="11"/>
        <v>0.11520000000000045</v>
      </c>
      <c r="I109" s="3">
        <f t="array" ref="I109">SQRT(MMULT(MMULT(B109:F109,$B$14:$F$18),TRANSPOSE(B109:F109)))</f>
        <v>0.10244336263972673</v>
      </c>
      <c r="J109" s="3">
        <f t="shared" si="10"/>
        <v>0.11519999977505047</v>
      </c>
      <c r="M109" s="3">
        <v>0.10244336263972673</v>
      </c>
      <c r="N109" s="4">
        <f t="shared" si="12"/>
        <v>0.11520000000000045</v>
      </c>
      <c r="O109" s="1"/>
    </row>
    <row r="110" spans="1:15" x14ac:dyDescent="0.2">
      <c r="A110" s="3" t="s">
        <v>101</v>
      </c>
      <c r="B110" s="3">
        <v>0.31573479668094812</v>
      </c>
      <c r="C110" s="3">
        <v>0.33186875415515144</v>
      </c>
      <c r="D110" s="3">
        <v>2.4449133720536878E-2</v>
      </c>
      <c r="E110" s="3">
        <v>7.4285347160213289E-2</v>
      </c>
      <c r="F110" s="3">
        <v>0.2536619682831503</v>
      </c>
      <c r="G110" s="3">
        <f t="shared" si="9"/>
        <v>1</v>
      </c>
      <c r="H110" s="4">
        <f t="shared" si="11"/>
        <v>0.11590000000000046</v>
      </c>
      <c r="I110" s="3">
        <f t="array" ref="I110">SQRT(MMULT(MMULT(B110:F110,$B$14:$F$18),TRANSPOSE(B110:F110)))</f>
        <v>0.10341400698656036</v>
      </c>
      <c r="J110" s="3">
        <f t="shared" si="10"/>
        <v>0.11589999976187423</v>
      </c>
      <c r="M110" s="3">
        <v>0.10341400698656036</v>
      </c>
      <c r="N110" s="4">
        <f t="shared" si="12"/>
        <v>0.11590000000000046</v>
      </c>
      <c r="O110" s="1"/>
    </row>
    <row r="111" spans="1:15" x14ac:dyDescent="0.2">
      <c r="A111" s="3" t="s">
        <v>102</v>
      </c>
      <c r="B111" s="3">
        <v>0.32333066419094997</v>
      </c>
      <c r="C111" s="3">
        <v>0.33429463819724486</v>
      </c>
      <c r="D111" s="3">
        <v>1.5671838226619564E-2</v>
      </c>
      <c r="E111" s="3">
        <v>7.1688343300791657E-2</v>
      </c>
      <c r="F111" s="3">
        <v>0.25501451608439391</v>
      </c>
      <c r="G111" s="3">
        <f t="shared" si="9"/>
        <v>1</v>
      </c>
      <c r="H111" s="4">
        <f t="shared" si="11"/>
        <v>0.11660000000000047</v>
      </c>
      <c r="I111" s="3">
        <f t="array" ref="I111">SQRT(MMULT(MMULT(B111:F111,$B$14:$F$18),TRANSPOSE(B111:F111)))</f>
        <v>0.10439683384634996</v>
      </c>
      <c r="J111" s="3">
        <f t="shared" si="10"/>
        <v>0.11660099974872051</v>
      </c>
      <c r="M111" s="3">
        <v>0.10439683384634996</v>
      </c>
      <c r="N111" s="4">
        <f t="shared" si="12"/>
        <v>0.11660000000000047</v>
      </c>
      <c r="O111" s="1"/>
    </row>
    <row r="112" spans="1:15" x14ac:dyDescent="0.2">
      <c r="A112" s="3" t="s">
        <v>103</v>
      </c>
      <c r="B112" s="3">
        <v>0.33090467699224124</v>
      </c>
      <c r="C112" s="3">
        <v>0.33671375863098885</v>
      </c>
      <c r="D112" s="3">
        <v>6.9195637204833692E-3</v>
      </c>
      <c r="E112" s="3">
        <v>6.9098655099011044E-2</v>
      </c>
      <c r="F112" s="3">
        <v>0.25636334555727541</v>
      </c>
      <c r="G112" s="3">
        <f t="shared" si="9"/>
        <v>1</v>
      </c>
      <c r="H112" s="4">
        <f t="shared" si="11"/>
        <v>0.11730000000000047</v>
      </c>
      <c r="I112" s="3">
        <f t="array" ref="I112">SQRT(MMULT(MMULT(B112:F112,$B$14:$F$18),TRANSPOSE(B112:F112)))</f>
        <v>0.10538731349325305</v>
      </c>
      <c r="J112" s="3">
        <f t="shared" si="10"/>
        <v>0.11729999973552377</v>
      </c>
      <c r="M112" s="3">
        <v>0.10538731349325305</v>
      </c>
      <c r="N112" s="4">
        <f t="shared" si="12"/>
        <v>0.11730000000000047</v>
      </c>
      <c r="O112" s="1"/>
    </row>
    <row r="113" spans="1:15" x14ac:dyDescent="0.2">
      <c r="A113" s="3" t="s">
        <v>104</v>
      </c>
      <c r="B113" s="3">
        <v>0.34032821617352865</v>
      </c>
      <c r="C113" s="3">
        <v>0.33961586271919636</v>
      </c>
      <c r="D113" s="3">
        <v>0</v>
      </c>
      <c r="E113" s="3">
        <v>6.3013386986570427E-2</v>
      </c>
      <c r="F113" s="3">
        <v>0.25704253412070421</v>
      </c>
      <c r="G113" s="3">
        <f t="shared" si="9"/>
        <v>0.99999999999999967</v>
      </c>
      <c r="H113" s="4">
        <f t="shared" si="11"/>
        <v>0.11800000000000048</v>
      </c>
      <c r="I113" s="3">
        <f t="array" ref="I113">SQRT(MMULT(MMULT(B113:F113,$B$14:$F$18),TRANSPOSE(B113:F113)))</f>
        <v>0.10639039927260333</v>
      </c>
      <c r="J113" s="3">
        <f t="shared" si="10"/>
        <v>0.11799999973324182</v>
      </c>
      <c r="M113" s="3">
        <v>0.10639039927260333</v>
      </c>
      <c r="N113" s="4">
        <f t="shared" si="12"/>
        <v>0.11800000000000048</v>
      </c>
      <c r="O113" s="1"/>
    </row>
    <row r="114" spans="1:15" x14ac:dyDescent="0.2">
      <c r="A114" s="3" t="s">
        <v>105</v>
      </c>
      <c r="B114" s="3">
        <v>0.35664724718636542</v>
      </c>
      <c r="C114" s="3">
        <v>0.34431580984669813</v>
      </c>
      <c r="D114" s="3">
        <v>0</v>
      </c>
      <c r="E114" s="3">
        <v>4.3834486105394393E-2</v>
      </c>
      <c r="F114" s="3">
        <v>0.25520245686154208</v>
      </c>
      <c r="G114" s="3">
        <f t="shared" si="9"/>
        <v>1</v>
      </c>
      <c r="H114" s="4">
        <f t="shared" si="11"/>
        <v>0.11870000000000049</v>
      </c>
      <c r="I114" s="3">
        <f t="array" ref="I114">SQRT(MMULT(MMULT(B114:F114,$B$14:$F$18),TRANSPOSE(B114:F114)))</f>
        <v>0.10743466159616817</v>
      </c>
      <c r="J114" s="3">
        <f t="shared" si="10"/>
        <v>0.11869999977180978</v>
      </c>
      <c r="M114" s="3">
        <v>0.10743466159616817</v>
      </c>
      <c r="N114" s="4">
        <f t="shared" si="12"/>
        <v>0.11870000000000049</v>
      </c>
      <c r="O114" s="1"/>
    </row>
    <row r="115" spans="1:15" x14ac:dyDescent="0.2">
      <c r="A115" s="3" t="s">
        <v>106</v>
      </c>
      <c r="B115" s="3">
        <v>0.37296625352763996</v>
      </c>
      <c r="C115" s="3">
        <v>0.349015788115764</v>
      </c>
      <c r="D115" s="3">
        <v>0</v>
      </c>
      <c r="E115" s="3">
        <v>2.4655589330273349E-2</v>
      </c>
      <c r="F115" s="3">
        <v>0.2533623690263227</v>
      </c>
      <c r="G115" s="3">
        <f t="shared" si="9"/>
        <v>1</v>
      </c>
      <c r="H115" s="4">
        <f t="shared" si="11"/>
        <v>0.11940000000000049</v>
      </c>
      <c r="I115" s="3">
        <f t="array" ref="I115">SQRT(MMULT(MMULT(B115:F115,$B$14:$F$18),TRANSPOSE(B115:F115)))</f>
        <v>0.10853293772652425</v>
      </c>
      <c r="J115" s="3">
        <f t="shared" si="10"/>
        <v>0.11939999981037773</v>
      </c>
      <c r="M115" s="3">
        <v>0.10853293772652425</v>
      </c>
      <c r="N115" s="4">
        <f t="shared" si="12"/>
        <v>0.11940000000000049</v>
      </c>
      <c r="O115" s="1"/>
    </row>
    <row r="116" spans="1:15" x14ac:dyDescent="0.2">
      <c r="A116" s="3" t="s">
        <v>107</v>
      </c>
      <c r="B116" s="3">
        <v>0.38928553532727445</v>
      </c>
      <c r="C116" s="3">
        <v>0.35371546982019741</v>
      </c>
      <c r="D116" s="3">
        <v>0</v>
      </c>
      <c r="E116" s="3">
        <v>5.4768453690303542E-3</v>
      </c>
      <c r="F116" s="3">
        <v>0.25152214948349771</v>
      </c>
      <c r="G116" s="3">
        <f t="shared" si="9"/>
        <v>0.99999999999999989</v>
      </c>
      <c r="H116" s="4">
        <f t="shared" si="11"/>
        <v>0.1201000000000005</v>
      </c>
      <c r="I116" s="3">
        <f t="array" ref="I116">SQRT(MMULT(MMULT(B116:F116,$B$14:$F$18),TRANSPOSE(B116:F116)))</f>
        <v>0.10968360513396636</v>
      </c>
      <c r="J116" s="3">
        <f t="shared" si="10"/>
        <v>0.12009999984894582</v>
      </c>
      <c r="M116" s="3">
        <v>0.10968360513396636</v>
      </c>
      <c r="N116" s="4">
        <f t="shared" si="12"/>
        <v>0.1201000000000005</v>
      </c>
      <c r="O116" s="1"/>
    </row>
    <row r="117" spans="1:15" x14ac:dyDescent="0.2">
      <c r="A117" s="3" t="s">
        <v>108</v>
      </c>
      <c r="B117" s="3">
        <v>0.41141080729324059</v>
      </c>
      <c r="C117" s="3">
        <v>0.35490411616124556</v>
      </c>
      <c r="D117" s="3">
        <v>0</v>
      </c>
      <c r="E117" s="3">
        <v>0</v>
      </c>
      <c r="F117" s="3">
        <v>0.23368507654551393</v>
      </c>
      <c r="G117" s="3">
        <f t="shared" si="9"/>
        <v>1</v>
      </c>
      <c r="H117" s="4">
        <f t="shared" si="11"/>
        <v>0.1208000000000005</v>
      </c>
      <c r="I117" s="3">
        <f t="array" ref="I117">SQRT(MMULT(MMULT(B117:F117,$B$14:$F$18),TRANSPOSE(B117:F117)))</f>
        <v>0.11094963357610479</v>
      </c>
      <c r="J117" s="3">
        <f t="shared" si="10"/>
        <v>0.12080099988379618</v>
      </c>
      <c r="M117" s="3">
        <v>0.11094963357610479</v>
      </c>
      <c r="N117" s="4">
        <f t="shared" si="12"/>
        <v>0.1208000000000005</v>
      </c>
      <c r="O117" s="1"/>
    </row>
    <row r="118" spans="1:15" x14ac:dyDescent="0.2">
      <c r="A118" s="3" t="s">
        <v>109</v>
      </c>
      <c r="B118" s="3">
        <v>0.43577320076075965</v>
      </c>
      <c r="C118" s="3">
        <v>0.35469005875942866</v>
      </c>
      <c r="D118" s="3">
        <v>0</v>
      </c>
      <c r="E118" s="3">
        <v>0</v>
      </c>
      <c r="F118" s="3">
        <v>0.20953674047981152</v>
      </c>
      <c r="G118" s="3">
        <f t="shared" si="9"/>
        <v>0.99999999999999989</v>
      </c>
      <c r="H118" s="4">
        <f>H117+0.0007</f>
        <v>0.12150000000000051</v>
      </c>
      <c r="I118" s="3">
        <f t="array" ref="I118">SQRT(MMULT(MMULT(B118:F118,$B$14:$F$18),TRANSPOSE(B118:F118)))</f>
        <v>0.11249158444580737</v>
      </c>
      <c r="J118" s="3">
        <f t="shared" si="10"/>
        <v>0.12149999989458438</v>
      </c>
      <c r="M118" s="3">
        <v>0.11249158444580737</v>
      </c>
      <c r="N118" s="4">
        <f>N117+0.0007</f>
        <v>0.12150000000000051</v>
      </c>
      <c r="O118" s="1"/>
    </row>
    <row r="119" spans="1:15" x14ac:dyDescent="0.2">
      <c r="A119" s="3" t="s">
        <v>110</v>
      </c>
      <c r="B119" s="3">
        <v>0.46017044764007226</v>
      </c>
      <c r="C119" s="3">
        <v>0.35447569410609869</v>
      </c>
      <c r="D119" s="3">
        <v>0</v>
      </c>
      <c r="E119" s="3">
        <v>0</v>
      </c>
      <c r="F119" s="3">
        <v>0.18535385825382875</v>
      </c>
      <c r="G119" s="3">
        <f t="shared" si="9"/>
        <v>0.99999999999999978</v>
      </c>
      <c r="H119" s="4">
        <f t="shared" ref="H119:H120" si="13">H118+0.0007</f>
        <v>0.12220000000000052</v>
      </c>
      <c r="I119" s="3">
        <f t="array" ref="I119">SQRT(MMULT(MMULT(B119:F119,$B$14:$F$18),TRANSPOSE(B119:F119)))</f>
        <v>0.11431382292543352</v>
      </c>
      <c r="J119" s="3">
        <f t="shared" si="10"/>
        <v>0.12219999988711258</v>
      </c>
      <c r="M119" s="3">
        <v>0.11431382292543352</v>
      </c>
      <c r="N119" s="4">
        <f t="shared" ref="N119:N120" si="14">N118+0.0007</f>
        <v>0.12220000000000052</v>
      </c>
      <c r="O119" s="1"/>
    </row>
    <row r="120" spans="1:15" x14ac:dyDescent="0.2">
      <c r="A120" s="3" t="s">
        <v>111</v>
      </c>
      <c r="B120" s="3">
        <v>0.48456769313746928</v>
      </c>
      <c r="C120" s="3">
        <v>0.3542613311378881</v>
      </c>
      <c r="D120" s="3">
        <v>0</v>
      </c>
      <c r="E120" s="3">
        <v>0</v>
      </c>
      <c r="F120" s="3">
        <v>0.16117097572464265</v>
      </c>
      <c r="G120" s="3">
        <f t="shared" si="9"/>
        <v>1</v>
      </c>
      <c r="H120" s="4">
        <f t="shared" si="13"/>
        <v>0.12290000000000052</v>
      </c>
      <c r="I120" s="3">
        <f t="array" ref="I120">SQRT(MMULT(MMULT(B120:F120,$B$14:$F$18),TRANSPOSE(B120:F120)))</f>
        <v>0.1164012788551254</v>
      </c>
      <c r="J120" s="3">
        <f t="shared" si="10"/>
        <v>0.12289999987964081</v>
      </c>
      <c r="M120" s="3">
        <v>0.1164012788551254</v>
      </c>
      <c r="N120" s="4">
        <f t="shared" si="14"/>
        <v>0.12290000000000052</v>
      </c>
      <c r="O120" s="1"/>
    </row>
    <row r="121" spans="1:15" x14ac:dyDescent="0.2">
      <c r="A121" s="3" t="s">
        <v>112</v>
      </c>
      <c r="B121" s="3">
        <v>0.50896494017112459</v>
      </c>
      <c r="C121" s="3">
        <v>0.35404696629635241</v>
      </c>
      <c r="D121" s="3">
        <v>0</v>
      </c>
      <c r="E121" s="3">
        <v>0</v>
      </c>
      <c r="F121" s="3">
        <v>0.13698809353252281</v>
      </c>
      <c r="G121" s="3">
        <f t="shared" si="9"/>
        <v>0.99999999999999989</v>
      </c>
      <c r="H121" s="4">
        <f>H120+0.0007</f>
        <v>0.12360000000000053</v>
      </c>
      <c r="I121" s="3">
        <f t="array" ref="I121">SQRT(MMULT(MMULT(B121:F121,$B$14:$F$18),TRANSPOSE(B121:F121)))</f>
        <v>0.11873996544117799</v>
      </c>
      <c r="J121" s="3">
        <f t="shared" si="10"/>
        <v>0.12359999987216903</v>
      </c>
      <c r="M121" s="3">
        <v>0.11873996544117799</v>
      </c>
      <c r="N121" s="4">
        <f>N120+0.0007</f>
        <v>0.12360000000000053</v>
      </c>
      <c r="O121" s="1"/>
    </row>
    <row r="122" spans="1:15" x14ac:dyDescent="0.2">
      <c r="A122" s="3" t="s">
        <v>113</v>
      </c>
      <c r="B122" s="3">
        <v>0.5333621863345902</v>
      </c>
      <c r="C122" s="3">
        <v>0.35383260251593307</v>
      </c>
      <c r="D122" s="3">
        <v>0</v>
      </c>
      <c r="E122" s="3">
        <v>0</v>
      </c>
      <c r="F122" s="3">
        <v>0.11280521114947666</v>
      </c>
      <c r="G122" s="3">
        <f t="shared" si="9"/>
        <v>0.99999999999999989</v>
      </c>
      <c r="H122" s="4">
        <f t="shared" ref="H122" si="15">H121+0.0007</f>
        <v>0.12430000000000054</v>
      </c>
      <c r="I122" s="3">
        <f t="array" ref="I122">SQRT(MMULT(MMULT(B122:F122,$B$14:$F$18),TRANSPOSE(B122:F122)))</f>
        <v>0.12131535407118825</v>
      </c>
      <c r="J122" s="3">
        <f t="shared" si="10"/>
        <v>0.12429999986469727</v>
      </c>
      <c r="M122" s="3">
        <v>0.12131535407118825</v>
      </c>
      <c r="N122" s="4">
        <f t="shared" ref="N122" si="16">N121+0.0007</f>
        <v>0.12430000000000054</v>
      </c>
      <c r="O122" s="1"/>
    </row>
    <row r="123" spans="1:15" x14ac:dyDescent="0.2">
      <c r="H123" s="5"/>
    </row>
    <row r="124" spans="1:15" x14ac:dyDescent="0.2">
      <c r="H124" s="5"/>
    </row>
  </sheetData>
  <scenarios current="1">
    <scenario name="plot" count="5" user="Yang Elvis" comment="Created by Yang Elvis on 10/29/2018">
      <inputCells r="I15" val="0.24317433732359"/>
      <inputCells r="J15" val="0.308665286033463"/>
      <inputCells r="K15" val="0.108284627841868"/>
      <inputCells r="L15" val="0.0991461411172961"/>
      <inputCells r="M15" val="0.240729607683782"/>
    </scenario>
    <scenario name="I" count="5" user="Yang Elvis" comment="Created by Yang Elvis on 10/29/2018">
      <inputCells r="A23" val="0"/>
      <inputCells r="B23" val="0.187390808544112"/>
      <inputCells r="C23" val="0.442603895110387"/>
      <inputCells r="D23" val="0.180805700067207"/>
      <inputCells r="E23" val="0.189199596278295"/>
    </scenario>
  </scenarios>
  <mergeCells count="7">
    <mergeCell ref="A21:J21"/>
    <mergeCell ref="M21:N21"/>
    <mergeCell ref="A12:F12"/>
    <mergeCell ref="I16:N16"/>
    <mergeCell ref="I17:N17"/>
    <mergeCell ref="I18:N18"/>
    <mergeCell ref="H13:N13"/>
  </mergeCells>
  <phoneticPr fontId="2" type="noConversion"/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3:R105"/>
  <sheetViews>
    <sheetView zoomScale="69" zoomScaleNormal="213" workbookViewId="0">
      <selection activeCell="N38" sqref="N38"/>
    </sheetView>
  </sheetViews>
  <sheetFormatPr baseColWidth="10" defaultRowHeight="16" x14ac:dyDescent="0.2"/>
  <cols>
    <col min="1" max="1" width="17.33203125" style="2" bestFit="1" customWidth="1"/>
    <col min="2" max="2" width="15.5" style="2" bestFit="1" customWidth="1"/>
    <col min="3" max="3" width="10.83203125" style="2"/>
    <col min="4" max="4" width="17.33203125" style="2" bestFit="1" customWidth="1"/>
    <col min="5" max="5" width="15.5" style="2" bestFit="1" customWidth="1"/>
    <col min="6" max="6" width="10.83203125" style="2"/>
    <col min="7" max="7" width="17.33203125" style="2" bestFit="1" customWidth="1"/>
    <col min="8" max="8" width="15.5" style="2" bestFit="1" customWidth="1"/>
    <col min="9" max="9" width="10.83203125" style="2"/>
    <col min="10" max="10" width="17.33203125" style="2" bestFit="1" customWidth="1"/>
    <col min="11" max="11" width="15.5" style="2" bestFit="1" customWidth="1"/>
    <col min="12" max="12" width="10.83203125" style="2"/>
    <col min="13" max="13" width="11.83203125" style="2" bestFit="1" customWidth="1"/>
    <col min="14" max="14" width="8.83203125" style="2" bestFit="1" customWidth="1"/>
    <col min="15" max="15" width="12.1640625" style="2" bestFit="1" customWidth="1"/>
    <col min="16" max="16" width="12.83203125" style="2" customWidth="1"/>
    <col min="17" max="17" width="11.6640625" style="2" customWidth="1"/>
    <col min="18" max="16384" width="10.83203125" style="2"/>
  </cols>
  <sheetData>
    <row r="3" spans="1:18" ht="23" x14ac:dyDescent="0.2">
      <c r="A3" s="17" t="s">
        <v>134</v>
      </c>
      <c r="B3" s="17"/>
      <c r="D3" s="17" t="s">
        <v>136</v>
      </c>
      <c r="E3" s="17"/>
      <c r="G3" s="17" t="s">
        <v>138</v>
      </c>
      <c r="H3" s="17"/>
      <c r="J3" s="17" t="s">
        <v>139</v>
      </c>
      <c r="K3" s="17"/>
      <c r="M3" s="4" t="s">
        <v>0</v>
      </c>
      <c r="N3" s="4" t="s">
        <v>3</v>
      </c>
      <c r="O3" s="4" t="s">
        <v>4</v>
      </c>
      <c r="P3" s="4" t="s">
        <v>5</v>
      </c>
      <c r="Q3" s="4" t="s">
        <v>6</v>
      </c>
      <c r="R3" s="4" t="s">
        <v>7</v>
      </c>
    </row>
    <row r="4" spans="1:18" x14ac:dyDescent="0.2">
      <c r="A4" s="3" t="s">
        <v>120</v>
      </c>
      <c r="B4" s="3" t="s">
        <v>8</v>
      </c>
      <c r="D4" s="3" t="s">
        <v>129</v>
      </c>
      <c r="E4" s="3" t="s">
        <v>128</v>
      </c>
      <c r="G4" s="3" t="s">
        <v>129</v>
      </c>
      <c r="H4" s="3" t="s">
        <v>137</v>
      </c>
      <c r="J4" s="3" t="s">
        <v>129</v>
      </c>
      <c r="K4" s="3" t="s">
        <v>137</v>
      </c>
      <c r="M4" s="4" t="s">
        <v>1</v>
      </c>
      <c r="N4" s="4">
        <v>0.12939999999999999</v>
      </c>
      <c r="O4" s="4">
        <v>0.1242</v>
      </c>
      <c r="P4" s="4">
        <v>5.3999999999999999E-2</v>
      </c>
      <c r="Q4" s="4">
        <v>9.4399999999999998E-2</v>
      </c>
      <c r="R4" s="4">
        <v>0.10050000000000001</v>
      </c>
    </row>
    <row r="5" spans="1:18" x14ac:dyDescent="0.2">
      <c r="A5" s="3">
        <v>0.10840746709223449</v>
      </c>
      <c r="B5" s="4">
        <v>5.5E-2</v>
      </c>
      <c r="D5" s="3">
        <v>0.10956146395579316</v>
      </c>
      <c r="E5" s="3">
        <v>5.5E-2</v>
      </c>
      <c r="G5" s="3">
        <v>0.10883900158039289</v>
      </c>
      <c r="H5" s="3">
        <v>5.5E-2</v>
      </c>
      <c r="J5" s="3">
        <v>0.1084075643823257</v>
      </c>
      <c r="K5" s="3">
        <v>5.5E-2</v>
      </c>
      <c r="M5" s="4" t="s">
        <v>2</v>
      </c>
      <c r="N5" s="4">
        <v>0.15210000000000001</v>
      </c>
      <c r="O5" s="4">
        <v>0.1444</v>
      </c>
      <c r="P5" s="4">
        <v>0.111</v>
      </c>
      <c r="Q5" s="4">
        <v>0.13539999999999999</v>
      </c>
      <c r="R5" s="4">
        <v>0.18429999999999999</v>
      </c>
    </row>
    <row r="6" spans="1:18" x14ac:dyDescent="0.2">
      <c r="A6" s="3">
        <v>0.10668211993006403</v>
      </c>
      <c r="B6" s="4">
        <f>B5+0.0007</f>
        <v>5.57E-2</v>
      </c>
      <c r="D6" s="3">
        <v>0.10853618715395429</v>
      </c>
      <c r="E6" s="3">
        <f>E5+0.00073</f>
        <v>5.5730000000000002E-2</v>
      </c>
      <c r="G6" s="3">
        <v>0.10738818303472843</v>
      </c>
      <c r="H6" s="3">
        <v>5.57E-2</v>
      </c>
      <c r="J6" s="3">
        <v>0.10668221118515593</v>
      </c>
      <c r="K6" s="3">
        <v>5.57E-2</v>
      </c>
    </row>
    <row r="7" spans="1:18" x14ac:dyDescent="0.2">
      <c r="A7" s="3">
        <v>0.10503450635215375</v>
      </c>
      <c r="B7" s="4">
        <f t="shared" ref="B7:B70" si="0">B6+0.0007</f>
        <v>5.6399999999999999E-2</v>
      </c>
      <c r="D7" s="3">
        <v>0.10753256171972707</v>
      </c>
      <c r="E7" s="3">
        <f t="shared" ref="E7:E70" si="1">E6+0.00073</f>
        <v>5.6460000000000003E-2</v>
      </c>
      <c r="G7" s="3">
        <v>0.10599072502978465</v>
      </c>
      <c r="H7" s="3">
        <v>5.6399999999999999E-2</v>
      </c>
      <c r="J7" s="3">
        <v>0.10503459129834554</v>
      </c>
      <c r="K7" s="3">
        <v>5.6399999999999999E-2</v>
      </c>
    </row>
    <row r="8" spans="1:18" x14ac:dyDescent="0.2">
      <c r="A8" s="3">
        <v>0.10346772718936971</v>
      </c>
      <c r="B8" s="4">
        <f t="shared" si="0"/>
        <v>5.7099999999999998E-2</v>
      </c>
      <c r="D8" s="3">
        <v>0.10655119910184792</v>
      </c>
      <c r="E8" s="3">
        <f t="shared" si="1"/>
        <v>5.7190000000000005E-2</v>
      </c>
      <c r="G8" s="3">
        <v>0.10464876186481423</v>
      </c>
      <c r="H8" s="3">
        <v>5.7099999999999998E-2</v>
      </c>
      <c r="J8" s="3">
        <v>0.10346840881095944</v>
      </c>
      <c r="K8" s="3">
        <v>5.7099999999999998E-2</v>
      </c>
    </row>
    <row r="9" spans="1:18" x14ac:dyDescent="0.2">
      <c r="A9" s="3">
        <v>0.10195326500655746</v>
      </c>
      <c r="B9" s="4">
        <f t="shared" si="0"/>
        <v>5.7799999999999997E-2</v>
      </c>
      <c r="D9" s="3">
        <v>0.10559272002378937</v>
      </c>
      <c r="E9" s="3">
        <f t="shared" si="1"/>
        <v>5.7920000000000006E-2</v>
      </c>
      <c r="G9" s="3">
        <v>0.10336445678356472</v>
      </c>
      <c r="H9" s="3">
        <v>5.7799999999999997E-2</v>
      </c>
      <c r="J9" s="3">
        <v>0.10198743490909823</v>
      </c>
      <c r="K9" s="3">
        <v>5.7799999999999997E-2</v>
      </c>
    </row>
    <row r="10" spans="1:18" x14ac:dyDescent="0.2">
      <c r="A10" s="3">
        <v>0.10047548841825307</v>
      </c>
      <c r="B10" s="4">
        <f t="shared" si="0"/>
        <v>5.8499999999999996E-2</v>
      </c>
      <c r="D10" s="3">
        <v>0.1046577658489739</v>
      </c>
      <c r="E10" s="3">
        <f t="shared" si="1"/>
        <v>5.8650000000000008E-2</v>
      </c>
      <c r="G10" s="3">
        <v>0.10213998478219923</v>
      </c>
      <c r="H10" s="3">
        <v>5.8499999999999996E-2</v>
      </c>
      <c r="J10" s="3">
        <v>0.10059542312955114</v>
      </c>
      <c r="K10" s="3">
        <v>5.8499999999999996E-2</v>
      </c>
    </row>
    <row r="11" spans="1:18" x14ac:dyDescent="0.2">
      <c r="A11" s="3">
        <v>9.9035500616955111E-2</v>
      </c>
      <c r="B11" s="4">
        <f t="shared" si="0"/>
        <v>5.9199999999999996E-2</v>
      </c>
      <c r="D11" s="3">
        <v>0.10374694663358557</v>
      </c>
      <c r="E11" s="3">
        <f t="shared" si="1"/>
        <v>5.9380000000000009E-2</v>
      </c>
      <c r="G11" s="3">
        <v>0.10097752252495602</v>
      </c>
      <c r="H11" s="3">
        <v>5.9199999999999996E-2</v>
      </c>
      <c r="J11" s="3">
        <v>9.9296114967804591E-2</v>
      </c>
      <c r="K11" s="3">
        <v>5.9199999999999996E-2</v>
      </c>
    </row>
    <row r="12" spans="1:18" x14ac:dyDescent="0.2">
      <c r="A12" s="3">
        <v>9.7635226977145662E-2</v>
      </c>
      <c r="B12" s="4">
        <f t="shared" si="0"/>
        <v>5.9899999999999995E-2</v>
      </c>
      <c r="D12" s="3">
        <v>0.10286091682962711</v>
      </c>
      <c r="E12" s="3">
        <f t="shared" si="1"/>
        <v>6.0110000000000011E-2</v>
      </c>
      <c r="G12" s="3">
        <v>9.9879235169637523E-2</v>
      </c>
      <c r="H12" s="3">
        <v>5.9899999999999995E-2</v>
      </c>
      <c r="J12" s="3">
        <v>9.809319425217862E-2</v>
      </c>
      <c r="K12" s="3">
        <v>5.9899999999999995E-2</v>
      </c>
    </row>
    <row r="13" spans="1:18" x14ac:dyDescent="0.2">
      <c r="A13" s="3">
        <v>9.6276991895906869E-2</v>
      </c>
      <c r="B13" s="4">
        <f t="shared" si="0"/>
        <v>6.0599999999999994E-2</v>
      </c>
      <c r="D13" s="3">
        <v>0.10200032244172998</v>
      </c>
      <c r="E13" s="3">
        <f t="shared" si="1"/>
        <v>6.0840000000000012E-2</v>
      </c>
      <c r="G13" s="3">
        <v>9.8847276131253603E-2</v>
      </c>
      <c r="H13" s="3">
        <v>6.0599999999999994E-2</v>
      </c>
      <c r="J13" s="3">
        <v>9.6990247382414602E-2</v>
      </c>
      <c r="K13" s="3">
        <v>6.0599999999999994E-2</v>
      </c>
    </row>
    <row r="14" spans="1:18" x14ac:dyDescent="0.2">
      <c r="A14" s="3">
        <v>9.4961661400343469E-2</v>
      </c>
      <c r="B14" s="4">
        <f t="shared" si="0"/>
        <v>6.1299999999999993E-2</v>
      </c>
      <c r="D14" s="3">
        <v>0.1011658125917462</v>
      </c>
      <c r="E14" s="3">
        <f t="shared" si="1"/>
        <v>6.1570000000000014E-2</v>
      </c>
      <c r="G14" s="3">
        <v>9.788370007376207E-2</v>
      </c>
      <c r="H14" s="3">
        <v>6.1299999999999993E-2</v>
      </c>
      <c r="J14" s="3">
        <v>9.5988795645817721E-2</v>
      </c>
      <c r="K14" s="3">
        <v>6.1299999999999993E-2</v>
      </c>
    </row>
    <row r="15" spans="1:18" x14ac:dyDescent="0.2">
      <c r="A15" s="3">
        <v>9.3691398442178747E-2</v>
      </c>
      <c r="B15" s="4">
        <f t="shared" si="0"/>
        <v>6.1999999999999993E-2</v>
      </c>
      <c r="D15" s="3">
        <v>0.10035802710681849</v>
      </c>
      <c r="E15" s="3">
        <f t="shared" si="1"/>
        <v>6.2300000000000015E-2</v>
      </c>
      <c r="G15" s="3">
        <v>9.699058871558057E-2</v>
      </c>
      <c r="H15" s="3">
        <v>6.1999999999999993E-2</v>
      </c>
      <c r="J15" s="3">
        <v>9.5034754965785409E-2</v>
      </c>
      <c r="K15" s="3">
        <v>6.1999999999999993E-2</v>
      </c>
    </row>
    <row r="16" spans="1:18" x14ac:dyDescent="0.2">
      <c r="A16" s="3">
        <v>9.2468119059120543E-2</v>
      </c>
      <c r="B16" s="4">
        <f t="shared" si="0"/>
        <v>6.2699999999999992E-2</v>
      </c>
      <c r="D16" s="3">
        <v>9.9577649256493206E-2</v>
      </c>
      <c r="E16" s="3">
        <f t="shared" si="1"/>
        <v>6.3030000000000017E-2</v>
      </c>
      <c r="G16" s="3">
        <v>9.6166340467029196E-2</v>
      </c>
      <c r="H16" s="3">
        <v>6.2699999999999992E-2</v>
      </c>
      <c r="J16" s="3">
        <v>9.4102708687656161E-2</v>
      </c>
      <c r="K16" s="3">
        <v>6.2699999999999992E-2</v>
      </c>
    </row>
    <row r="17" spans="1:11" x14ac:dyDescent="0.2">
      <c r="A17" s="3">
        <v>9.1293532108760109E-2</v>
      </c>
      <c r="B17" s="4">
        <f t="shared" si="0"/>
        <v>6.3399999999999998E-2</v>
      </c>
      <c r="D17" s="3">
        <v>9.8825295174963329E-2</v>
      </c>
      <c r="E17" s="3">
        <f t="shared" si="1"/>
        <v>6.3760000000000011E-2</v>
      </c>
      <c r="G17" s="3">
        <v>9.5376739763108759E-2</v>
      </c>
      <c r="H17" s="3">
        <v>6.3399999999999998E-2</v>
      </c>
      <c r="J17" s="3">
        <v>9.3193324589996393E-2</v>
      </c>
      <c r="K17" s="3">
        <v>6.3399999999999998E-2</v>
      </c>
    </row>
    <row r="18" spans="1:11" x14ac:dyDescent="0.2">
      <c r="A18" s="3">
        <v>9.0170001081437412E-2</v>
      </c>
      <c r="B18" s="4">
        <f t="shared" si="0"/>
        <v>6.4100000000000004E-2</v>
      </c>
      <c r="D18" s="3">
        <v>9.8101620747743437E-2</v>
      </c>
      <c r="E18" s="3">
        <f t="shared" si="1"/>
        <v>6.4490000000000006E-2</v>
      </c>
      <c r="G18" s="3">
        <v>9.4613302287167703E-2</v>
      </c>
      <c r="H18" s="3">
        <v>6.4100000000000004E-2</v>
      </c>
      <c r="J18" s="3">
        <v>9.2307256249138089E-2</v>
      </c>
      <c r="K18" s="3">
        <v>6.4100000000000004E-2</v>
      </c>
    </row>
    <row r="19" spans="1:11" x14ac:dyDescent="0.2">
      <c r="A19" s="3">
        <v>8.9098973659598235E-2</v>
      </c>
      <c r="B19" s="4">
        <f t="shared" si="0"/>
        <v>6.480000000000001E-2</v>
      </c>
      <c r="D19" s="3">
        <v>9.74072651920561E-2</v>
      </c>
      <c r="E19" s="3">
        <f t="shared" si="1"/>
        <v>6.522E-2</v>
      </c>
      <c r="G19" s="3">
        <v>9.3876666346596319E-2</v>
      </c>
      <c r="H19" s="3">
        <v>6.480000000000001E-2</v>
      </c>
      <c r="J19" s="3">
        <v>9.144518977740855E-2</v>
      </c>
      <c r="K19" s="3">
        <v>6.480000000000001E-2</v>
      </c>
    </row>
    <row r="20" spans="1:11" x14ac:dyDescent="0.2">
      <c r="A20" s="3">
        <v>8.8082533635295765E-2</v>
      </c>
      <c r="B20" s="4">
        <f t="shared" si="0"/>
        <v>6.5500000000000017E-2</v>
      </c>
      <c r="D20" s="3">
        <v>9.6742859803724102E-2</v>
      </c>
      <c r="E20" s="3">
        <f t="shared" si="1"/>
        <v>6.5949999999999995E-2</v>
      </c>
      <c r="G20" s="3">
        <v>9.3167467668931386E-2</v>
      </c>
      <c r="H20" s="3">
        <v>6.5500000000000017E-2</v>
      </c>
      <c r="J20" s="3">
        <v>9.0607810257632149E-2</v>
      </c>
      <c r="K20" s="3">
        <v>6.5500000000000017E-2</v>
      </c>
    </row>
    <row r="21" spans="1:11" x14ac:dyDescent="0.2">
      <c r="A21" s="3">
        <v>8.7122598436887091E-2</v>
      </c>
      <c r="B21" s="4">
        <f t="shared" si="0"/>
        <v>6.6200000000000023E-2</v>
      </c>
      <c r="D21" s="3">
        <v>9.6109025724728306E-2</v>
      </c>
      <c r="E21" s="3">
        <f t="shared" si="1"/>
        <v>6.6679999999999989E-2</v>
      </c>
      <c r="G21" s="3">
        <v>9.2486337435085969E-2</v>
      </c>
      <c r="H21" s="3">
        <v>6.6200000000000023E-2</v>
      </c>
      <c r="J21" s="3">
        <v>8.9795808337664207E-2</v>
      </c>
      <c r="K21" s="3">
        <v>6.6200000000000023E-2</v>
      </c>
    </row>
    <row r="22" spans="1:11" x14ac:dyDescent="0.2">
      <c r="A22" s="3">
        <v>8.6221048459335439E-2</v>
      </c>
      <c r="B22" s="4">
        <f t="shared" si="0"/>
        <v>6.6900000000000029E-2</v>
      </c>
      <c r="D22" s="3">
        <v>9.5506371622295305E-2</v>
      </c>
      <c r="E22" s="3">
        <f t="shared" si="1"/>
        <v>6.7409999999999984E-2</v>
      </c>
      <c r="G22" s="3">
        <v>9.1833900196473195E-2</v>
      </c>
      <c r="H22" s="3">
        <v>6.6900000000000029E-2</v>
      </c>
      <c r="J22" s="3">
        <v>8.9009991165340738E-2</v>
      </c>
      <c r="K22" s="3">
        <v>6.6900000000000029E-2</v>
      </c>
    </row>
    <row r="23" spans="1:11" x14ac:dyDescent="0.2">
      <c r="A23" s="3">
        <v>8.5379599113064863E-2</v>
      </c>
      <c r="B23" s="4">
        <f t="shared" si="0"/>
        <v>6.7600000000000035E-2</v>
      </c>
      <c r="D23" s="3">
        <v>9.4935491293306432E-2</v>
      </c>
      <c r="E23" s="3">
        <f t="shared" si="1"/>
        <v>6.8139999999999978E-2</v>
      </c>
      <c r="G23" s="3">
        <v>9.1210772016289618E-2</v>
      </c>
      <c r="H23" s="3">
        <v>6.7600000000000035E-2</v>
      </c>
      <c r="J23" s="3">
        <v>8.8250717463945819E-2</v>
      </c>
      <c r="K23" s="3">
        <v>6.7600000000000035E-2</v>
      </c>
    </row>
    <row r="24" spans="1:11" x14ac:dyDescent="0.2">
      <c r="A24" s="3">
        <v>8.4600162126703807E-2</v>
      </c>
      <c r="B24" s="4">
        <f t="shared" si="0"/>
        <v>6.8300000000000041E-2</v>
      </c>
      <c r="D24" s="3">
        <v>9.4396961210056737E-2</v>
      </c>
      <c r="E24" s="3">
        <f t="shared" si="1"/>
        <v>6.8869999999999973E-2</v>
      </c>
      <c r="G24" s="3">
        <v>9.0617556842669381E-2</v>
      </c>
      <c r="H24" s="3">
        <v>6.8300000000000041E-2</v>
      </c>
      <c r="J24" s="3">
        <v>8.7519021677898504E-2</v>
      </c>
      <c r="K24" s="3">
        <v>6.8300000000000041E-2</v>
      </c>
    </row>
    <row r="25" spans="1:11" x14ac:dyDescent="0.2">
      <c r="A25" s="3">
        <v>8.3862312409859183E-2</v>
      </c>
      <c r="B25" s="4">
        <f t="shared" si="0"/>
        <v>6.9000000000000047E-2</v>
      </c>
      <c r="D25" s="3">
        <v>9.3891338025562626E-2</v>
      </c>
      <c r="E25" s="3">
        <f t="shared" si="1"/>
        <v>6.9599999999999967E-2</v>
      </c>
      <c r="G25" s="3">
        <v>9.0054846162132066E-2</v>
      </c>
      <c r="H25" s="3">
        <v>6.9000000000000047E-2</v>
      </c>
      <c r="J25" s="3">
        <v>8.6815485641020623E-2</v>
      </c>
      <c r="K25" s="3">
        <v>6.9000000000000047E-2</v>
      </c>
    </row>
    <row r="26" spans="1:11" x14ac:dyDescent="0.2">
      <c r="A26" s="3">
        <v>8.315475277906488E-2</v>
      </c>
      <c r="B26" s="4">
        <f t="shared" si="0"/>
        <v>6.9700000000000054E-2</v>
      </c>
      <c r="D26" s="3">
        <v>9.3419156058669087E-2</v>
      </c>
      <c r="E26" s="3">
        <f t="shared" si="1"/>
        <v>7.0329999999999962E-2</v>
      </c>
      <c r="G26" s="3">
        <v>8.9523215197288994E-2</v>
      </c>
      <c r="H26" s="3">
        <v>6.9700000000000054E-2</v>
      </c>
      <c r="J26" s="3">
        <v>8.6140799321753628E-2</v>
      </c>
      <c r="K26" s="3">
        <v>6.9700000000000054E-2</v>
      </c>
    </row>
    <row r="27" spans="1:11" x14ac:dyDescent="0.2">
      <c r="A27" s="3">
        <v>8.2476167052476956E-2</v>
      </c>
      <c r="B27" s="4">
        <f t="shared" si="0"/>
        <v>7.040000000000006E-2</v>
      </c>
      <c r="D27" s="3">
        <v>9.2980924781072644E-2</v>
      </c>
      <c r="E27" s="3">
        <f t="shared" si="1"/>
        <v>7.1059999999999957E-2</v>
      </c>
      <c r="G27" s="3">
        <v>8.9023220477170234E-2</v>
      </c>
      <c r="H27" s="3">
        <v>7.040000000000006E-2</v>
      </c>
      <c r="J27" s="3">
        <v>8.5495645722864153E-2</v>
      </c>
      <c r="K27" s="3">
        <v>7.040000000000006E-2</v>
      </c>
    </row>
    <row r="28" spans="1:11" x14ac:dyDescent="0.2">
      <c r="A28" s="3">
        <v>8.1827424916988425E-2</v>
      </c>
      <c r="B28" s="4">
        <f t="shared" si="0"/>
        <v>7.1100000000000066E-2</v>
      </c>
      <c r="D28" s="3">
        <v>9.2577126329990447E-2</v>
      </c>
      <c r="E28" s="3">
        <f t="shared" si="1"/>
        <v>7.1789999999999951E-2</v>
      </c>
      <c r="G28" s="3">
        <v>8.8555398476620695E-2</v>
      </c>
      <c r="H28" s="3">
        <v>7.1100000000000066E-2</v>
      </c>
      <c r="J28" s="3">
        <v>8.4880698255981213E-2</v>
      </c>
      <c r="K28" s="3">
        <v>7.1100000000000066E-2</v>
      </c>
    </row>
    <row r="29" spans="1:11" x14ac:dyDescent="0.2">
      <c r="A29" s="3">
        <v>8.1212059285122665E-2</v>
      </c>
      <c r="B29" s="4">
        <f t="shared" si="0"/>
        <v>7.1800000000000072E-2</v>
      </c>
      <c r="D29" s="3">
        <v>9.220821307150763E-2</v>
      </c>
      <c r="E29" s="3">
        <f t="shared" si="1"/>
        <v>7.2519999999999946E-2</v>
      </c>
      <c r="G29" s="3">
        <v>8.812025529129755E-2</v>
      </c>
      <c r="H29" s="3">
        <v>7.1800000000000072E-2</v>
      </c>
      <c r="J29" s="3">
        <v>8.4296696486086592E-2</v>
      </c>
      <c r="K29" s="3">
        <v>7.1800000000000072E-2</v>
      </c>
    </row>
    <row r="30" spans="1:11" x14ac:dyDescent="0.2">
      <c r="A30" s="3">
        <v>8.0627996335462096E-2</v>
      </c>
      <c r="B30" s="4">
        <f t="shared" si="0"/>
        <v>7.2500000000000078E-2</v>
      </c>
      <c r="D30" s="3">
        <v>9.1874605240556462E-2</v>
      </c>
      <c r="E30" s="3">
        <f t="shared" si="1"/>
        <v>7.324999999999994E-2</v>
      </c>
      <c r="G30" s="3">
        <v>8.7718289771263794E-2</v>
      </c>
      <c r="H30" s="3">
        <v>7.2500000000000078E-2</v>
      </c>
      <c r="J30" s="3">
        <v>8.3744125002952627E-2</v>
      </c>
      <c r="K30" s="3">
        <v>7.2500000000000078E-2</v>
      </c>
    </row>
    <row r="31" spans="1:11" x14ac:dyDescent="0.2">
      <c r="A31" s="3">
        <v>8.007583821954678E-2</v>
      </c>
      <c r="B31" s="4">
        <f t="shared" si="0"/>
        <v>7.3200000000000084E-2</v>
      </c>
      <c r="D31" s="3">
        <v>9.1576688683974755E-2</v>
      </c>
      <c r="E31" s="3">
        <f t="shared" si="1"/>
        <v>7.3979999999999935E-2</v>
      </c>
      <c r="G31" s="3">
        <v>8.7349958426674965E-2</v>
      </c>
      <c r="H31" s="3">
        <v>7.3200000000000084E-2</v>
      </c>
      <c r="J31" s="3">
        <v>8.3223694192288963E-2</v>
      </c>
      <c r="K31" s="3">
        <v>7.3200000000000084E-2</v>
      </c>
    </row>
    <row r="32" spans="1:11" x14ac:dyDescent="0.2">
      <c r="A32" s="3">
        <v>7.955862070710569E-2</v>
      </c>
      <c r="B32" s="4">
        <f t="shared" si="0"/>
        <v>7.3900000000000091E-2</v>
      </c>
      <c r="D32" s="3">
        <v>9.1314812733100312E-2</v>
      </c>
      <c r="E32" s="3">
        <f t="shared" si="1"/>
        <v>7.4709999999999929E-2</v>
      </c>
      <c r="G32" s="3">
        <v>8.7015677785336337E-2</v>
      </c>
      <c r="H32" s="3">
        <v>7.3900000000000091E-2</v>
      </c>
      <c r="J32" s="3">
        <v>8.2735941911161556E-2</v>
      </c>
      <c r="K32" s="3">
        <v>7.3900000000000091E-2</v>
      </c>
    </row>
    <row r="33" spans="1:11" x14ac:dyDescent="0.2">
      <c r="A33" s="3">
        <v>7.9076119718892834E-2</v>
      </c>
      <c r="B33" s="4">
        <f t="shared" si="0"/>
        <v>7.4600000000000097E-2</v>
      </c>
      <c r="D33" s="3">
        <v>9.1089288231859286E-2</v>
      </c>
      <c r="E33" s="3">
        <f t="shared" si="1"/>
        <v>7.5439999999999924E-2</v>
      </c>
      <c r="G33" s="3">
        <v>8.6715847200840177E-2</v>
      </c>
      <c r="H33" s="3">
        <v>7.4600000000000097E-2</v>
      </c>
      <c r="J33" s="3">
        <v>8.2281592667643288E-2</v>
      </c>
      <c r="K33" s="3">
        <v>7.4600000000000097E-2</v>
      </c>
    </row>
    <row r="34" spans="1:11" x14ac:dyDescent="0.2">
      <c r="A34" s="3">
        <v>7.8627205620047727E-2</v>
      </c>
      <c r="B34" s="4">
        <f t="shared" si="0"/>
        <v>7.5300000000000103E-2</v>
      </c>
      <c r="D34" s="3">
        <v>9.0900385745266793E-2</v>
      </c>
      <c r="E34" s="3">
        <f t="shared" si="1"/>
        <v>7.6169999999999918E-2</v>
      </c>
      <c r="G34" s="3">
        <v>8.6450825115182109E-2</v>
      </c>
      <c r="H34" s="3">
        <v>7.5300000000000103E-2</v>
      </c>
      <c r="J34" s="3">
        <v>8.1861127944706152E-2</v>
      </c>
      <c r="K34" s="3">
        <v>7.5300000000000103E-2</v>
      </c>
    </row>
    <row r="35" spans="1:11" x14ac:dyDescent="0.2">
      <c r="A35" s="3">
        <v>7.8214475194346947E-2</v>
      </c>
      <c r="B35" s="4">
        <f t="shared" si="0"/>
        <v>7.6000000000000109E-2</v>
      </c>
      <c r="D35" s="3">
        <v>9.0746538653681069E-2</v>
      </c>
      <c r="E35" s="3">
        <f t="shared" si="1"/>
        <v>7.6899999999999913E-2</v>
      </c>
      <c r="G35" s="3">
        <v>8.6220932507428238E-2</v>
      </c>
      <c r="H35" s="3">
        <v>7.6000000000000109E-2</v>
      </c>
      <c r="J35" s="3">
        <v>8.1475072342980237E-2</v>
      </c>
      <c r="K35" s="3">
        <v>7.6000000000000109E-2</v>
      </c>
    </row>
    <row r="36" spans="1:11" x14ac:dyDescent="0.2">
      <c r="A36" s="3">
        <v>7.7837827964151729E-2</v>
      </c>
      <c r="B36" s="4">
        <f t="shared" si="0"/>
        <v>7.6700000000000115E-2</v>
      </c>
      <c r="D36" s="3">
        <v>9.0620052448112873E-2</v>
      </c>
      <c r="E36" s="3">
        <f t="shared" si="1"/>
        <v>7.7629999999999907E-2</v>
      </c>
      <c r="G36" s="3">
        <v>8.6026451012601618E-2</v>
      </c>
      <c r="H36" s="3">
        <v>7.6700000000000115E-2</v>
      </c>
      <c r="J36" s="3">
        <v>8.1123965721603047E-2</v>
      </c>
      <c r="K36" s="3">
        <v>7.6700000000000115E-2</v>
      </c>
    </row>
    <row r="37" spans="1:11" x14ac:dyDescent="0.2">
      <c r="A37" s="3">
        <v>7.7497790035372868E-2</v>
      </c>
      <c r="B37" s="4">
        <f t="shared" si="0"/>
        <v>7.7400000000000121E-2</v>
      </c>
      <c r="D37" s="3">
        <v>9.0520117858068405E-2</v>
      </c>
      <c r="E37" s="3">
        <f t="shared" si="1"/>
        <v>7.8359999999999902E-2</v>
      </c>
      <c r="G37" s="3">
        <v>8.586762123882874E-2</v>
      </c>
      <c r="H37" s="3">
        <v>7.7400000000000121E-2</v>
      </c>
      <c r="J37" s="3">
        <v>8.0808117219117542E-2</v>
      </c>
      <c r="K37" s="3">
        <v>7.7400000000000121E-2</v>
      </c>
    </row>
    <row r="38" spans="1:11" x14ac:dyDescent="0.2">
      <c r="A38" s="3">
        <v>7.7194845193810813E-2</v>
      </c>
      <c r="B38" s="4">
        <f t="shared" si="0"/>
        <v>7.8100000000000128E-2</v>
      </c>
      <c r="D38" s="3">
        <v>9.0446822894426668E-2</v>
      </c>
      <c r="E38" s="3">
        <f t="shared" si="1"/>
        <v>7.9089999999999896E-2</v>
      </c>
      <c r="G38" s="3">
        <v>8.5744639805598266E-2</v>
      </c>
      <c r="H38" s="3">
        <v>7.8100000000000128E-2</v>
      </c>
      <c r="J38" s="3">
        <v>8.052808863240897E-2</v>
      </c>
      <c r="K38" s="3">
        <v>7.8100000000000128E-2</v>
      </c>
    </row>
    <row r="39" spans="1:11" x14ac:dyDescent="0.2">
      <c r="A39" s="3">
        <v>7.6929783855025538E-2</v>
      </c>
      <c r="B39" s="4">
        <f t="shared" si="0"/>
        <v>7.8800000000000134E-2</v>
      </c>
      <c r="D39" s="3">
        <v>9.0400232354013677E-2</v>
      </c>
      <c r="E39" s="3">
        <f t="shared" si="1"/>
        <v>7.9819999999999891E-2</v>
      </c>
      <c r="G39" s="3">
        <v>8.5657664638658759E-2</v>
      </c>
      <c r="H39" s="3">
        <v>7.8800000000000134E-2</v>
      </c>
      <c r="J39" s="3">
        <v>8.0284205654277421E-2</v>
      </c>
      <c r="K39" s="3">
        <v>7.8800000000000134E-2</v>
      </c>
    </row>
    <row r="40" spans="1:11" x14ac:dyDescent="0.2">
      <c r="A40" s="3">
        <v>7.6702000879257173E-2</v>
      </c>
      <c r="B40" s="4">
        <f t="shared" si="0"/>
        <v>7.950000000000014E-2</v>
      </c>
      <c r="D40" s="3">
        <v>9.0380387533470594E-2</v>
      </c>
      <c r="E40" s="3">
        <f t="shared" si="1"/>
        <v>8.0549999999999886E-2</v>
      </c>
      <c r="G40" s="3">
        <v>8.5606803464002942E-2</v>
      </c>
      <c r="H40" s="3">
        <v>7.950000000000014E-2</v>
      </c>
      <c r="J40" s="3">
        <v>8.0076798542063496E-2</v>
      </c>
      <c r="K40" s="3">
        <v>7.950000000000014E-2</v>
      </c>
    </row>
    <row r="41" spans="1:11" x14ac:dyDescent="0.2">
      <c r="A41" s="3">
        <v>7.6512705677263176E-2</v>
      </c>
      <c r="B41" s="4">
        <f t="shared" si="0"/>
        <v>8.0200000000000146E-2</v>
      </c>
      <c r="D41" s="3">
        <v>9.0387306049122776E-2</v>
      </c>
      <c r="E41" s="3">
        <f t="shared" si="1"/>
        <v>8.127999999999988E-2</v>
      </c>
      <c r="G41" s="3">
        <v>8.5592120612613135E-2</v>
      </c>
      <c r="H41" s="3">
        <v>8.0200000000000146E-2</v>
      </c>
      <c r="J41" s="3">
        <v>7.990615133025035E-2</v>
      </c>
      <c r="K41" s="3">
        <v>8.0200000000000146E-2</v>
      </c>
    </row>
    <row r="42" spans="1:11" x14ac:dyDescent="0.2">
      <c r="A42" s="3">
        <v>7.6362015787415777E-2</v>
      </c>
      <c r="B42" s="4">
        <f t="shared" si="0"/>
        <v>8.0900000000000152E-2</v>
      </c>
      <c r="D42" s="3">
        <v>9.0420981757621241E-2</v>
      </c>
      <c r="E42" s="3">
        <f t="shared" si="1"/>
        <v>8.2009999999999875E-2</v>
      </c>
      <c r="G42" s="3">
        <v>8.5613634844751735E-2</v>
      </c>
      <c r="H42" s="3">
        <v>8.0900000000000152E-2</v>
      </c>
      <c r="J42" s="3">
        <v>7.976771691840287E-2</v>
      </c>
      <c r="K42" s="3">
        <v>8.0900000000000152E-2</v>
      </c>
    </row>
    <row r="43" spans="1:11" x14ac:dyDescent="0.2">
      <c r="A43" s="3">
        <v>7.6250070743730178E-2</v>
      </c>
      <c r="B43" s="4">
        <f t="shared" si="0"/>
        <v>8.1600000000000159E-2</v>
      </c>
      <c r="D43" s="3">
        <v>9.0481384783186528E-2</v>
      </c>
      <c r="E43" s="3">
        <f t="shared" si="1"/>
        <v>8.2739999999999869E-2</v>
      </c>
      <c r="G43" s="3">
        <v>8.5671317662032148E-2</v>
      </c>
      <c r="H43" s="3">
        <v>8.1600000000000159E-2</v>
      </c>
      <c r="J43" s="3">
        <v>7.9656206897195977E-2</v>
      </c>
      <c r="K43" s="3">
        <v>8.1600000000000159E-2</v>
      </c>
    </row>
    <row r="44" spans="1:11" x14ac:dyDescent="0.2">
      <c r="A44" s="3">
        <v>7.6177123218636039E-2</v>
      </c>
      <c r="B44" s="4">
        <f t="shared" si="0"/>
        <v>8.2300000000000165E-2</v>
      </c>
      <c r="D44" s="3">
        <v>9.0568461649908116E-2</v>
      </c>
      <c r="E44" s="3">
        <f t="shared" si="1"/>
        <v>8.3469999999999864E-2</v>
      </c>
      <c r="G44" s="3">
        <v>8.5765097781490954E-2</v>
      </c>
      <c r="H44" s="3">
        <v>8.2300000000000165E-2</v>
      </c>
      <c r="J44" s="3">
        <v>7.9571728753487614E-2</v>
      </c>
      <c r="K44" s="3">
        <v>8.2300000000000165E-2</v>
      </c>
    </row>
    <row r="45" spans="1:11" x14ac:dyDescent="0.2">
      <c r="A45" s="3">
        <v>7.6143299131444742E-2</v>
      </c>
      <c r="B45" s="4">
        <f t="shared" si="0"/>
        <v>8.3000000000000171E-2</v>
      </c>
      <c r="D45" s="3">
        <v>9.0682135517727414E-2</v>
      </c>
      <c r="E45" s="3">
        <f t="shared" si="1"/>
        <v>8.4199999999999858E-2</v>
      </c>
      <c r="G45" s="3">
        <v>8.589485851596261E-2</v>
      </c>
      <c r="H45" s="3">
        <v>8.3000000000000171E-2</v>
      </c>
      <c r="J45" s="3">
        <v>7.9514368645442271E-2</v>
      </c>
      <c r="K45" s="3">
        <v>8.3000000000000171E-2</v>
      </c>
    </row>
    <row r="46" spans="1:11" x14ac:dyDescent="0.2">
      <c r="A46" s="3">
        <v>7.6148322112053884E-2</v>
      </c>
      <c r="B46" s="4">
        <f t="shared" si="0"/>
        <v>8.3700000000000177E-2</v>
      </c>
      <c r="D46" s="3">
        <v>9.0822308621009484E-2</v>
      </c>
      <c r="E46" s="3">
        <f t="shared" si="1"/>
        <v>8.4929999999999853E-2</v>
      </c>
      <c r="G46" s="3">
        <v>8.6060433414914081E-2</v>
      </c>
      <c r="H46" s="3">
        <v>8.3700000000000177E-2</v>
      </c>
      <c r="J46" s="3">
        <v>7.9484187699794373E-2</v>
      </c>
      <c r="K46" s="3">
        <v>8.3700000000000177E-2</v>
      </c>
    </row>
    <row r="47" spans="1:11" x14ac:dyDescent="0.2">
      <c r="A47" s="3">
        <v>7.6192681081881916E-2</v>
      </c>
      <c r="B47" s="4">
        <f t="shared" si="0"/>
        <v>8.4400000000000183E-2</v>
      </c>
      <c r="D47" s="3">
        <v>9.0988854660481122E-2</v>
      </c>
      <c r="E47" s="3">
        <f t="shared" si="1"/>
        <v>8.5659999999999847E-2</v>
      </c>
      <c r="G47" s="3">
        <v>8.6261614708620468E-2</v>
      </c>
      <c r="H47" s="3">
        <v>8.4400000000000183E-2</v>
      </c>
      <c r="J47" s="3">
        <v>7.9481209626541066E-2</v>
      </c>
      <c r="K47" s="3">
        <v>8.4400000000000183E-2</v>
      </c>
    </row>
    <row r="48" spans="1:11" x14ac:dyDescent="0.2">
      <c r="A48" s="3">
        <v>7.6276006412702713E-2</v>
      </c>
      <c r="B48" s="4">
        <f t="shared" si="0"/>
        <v>8.5100000000000189E-2</v>
      </c>
      <c r="D48" s="3">
        <v>9.1181630849700671E-2</v>
      </c>
      <c r="E48" s="3">
        <f t="shared" si="1"/>
        <v>8.6389999999999842E-2</v>
      </c>
      <c r="G48" s="3">
        <v>8.6497321728807711E-2</v>
      </c>
      <c r="H48" s="3">
        <v>8.5100000000000189E-2</v>
      </c>
      <c r="J48" s="3">
        <v>7.9505444732094865E-2</v>
      </c>
      <c r="K48" s="3">
        <v>8.5100000000000189E-2</v>
      </c>
    </row>
    <row r="49" spans="1:11" x14ac:dyDescent="0.2">
      <c r="A49" s="3">
        <v>7.6398300978580511E-2</v>
      </c>
      <c r="B49" s="4">
        <f t="shared" si="0"/>
        <v>8.5800000000000196E-2</v>
      </c>
      <c r="D49" s="3">
        <v>9.1400471221284224E-2</v>
      </c>
      <c r="E49" s="3">
        <f t="shared" si="1"/>
        <v>8.7119999999999836E-2</v>
      </c>
      <c r="G49" s="3">
        <v>8.6759184900221623E-2</v>
      </c>
      <c r="H49" s="3">
        <v>8.5800000000000196E-2</v>
      </c>
      <c r="J49" s="3">
        <v>7.9556856258689648E-2</v>
      </c>
      <c r="K49" s="3">
        <v>8.5800000000000196E-2</v>
      </c>
    </row>
    <row r="50" spans="1:11" x14ac:dyDescent="0.2">
      <c r="A50" s="3">
        <v>7.6559153699004054E-2</v>
      </c>
      <c r="B50" s="4">
        <f t="shared" si="0"/>
        <v>8.6500000000000202E-2</v>
      </c>
      <c r="D50" s="3">
        <v>9.1645189067234192E-2</v>
      </c>
      <c r="E50" s="3">
        <f t="shared" si="1"/>
        <v>8.7849999999999831E-2</v>
      </c>
      <c r="G50" s="3">
        <v>8.7044926437709641E-2</v>
      </c>
      <c r="H50" s="3">
        <v>8.6500000000000202E-2</v>
      </c>
      <c r="J50" s="3">
        <v>7.9635406541182063E-2</v>
      </c>
      <c r="K50" s="3">
        <v>8.6500000000000202E-2</v>
      </c>
    </row>
    <row r="51" spans="1:11" x14ac:dyDescent="0.2">
      <c r="A51" s="3">
        <v>7.6756234789946101E-2</v>
      </c>
      <c r="B51" s="4">
        <f t="shared" si="0"/>
        <v>8.7200000000000208E-2</v>
      </c>
      <c r="D51" s="3">
        <v>9.1915577681609711E-2</v>
      </c>
      <c r="E51" s="3">
        <f t="shared" si="1"/>
        <v>8.8579999999999826E-2</v>
      </c>
      <c r="G51" s="3">
        <v>8.7354323677860432E-2</v>
      </c>
      <c r="H51" s="3">
        <v>8.7200000000000208E-2</v>
      </c>
      <c r="J51" s="3">
        <v>7.9741027240968418E-2</v>
      </c>
      <c r="K51" s="3">
        <v>8.7200000000000208E-2</v>
      </c>
    </row>
    <row r="52" spans="1:11" x14ac:dyDescent="0.2">
      <c r="A52" s="3">
        <v>7.6980480591082284E-2</v>
      </c>
      <c r="B52" s="4">
        <f t="shared" si="0"/>
        <v>8.7900000000000214E-2</v>
      </c>
      <c r="D52" s="3">
        <v>9.221141125151347E-2</v>
      </c>
      <c r="E52" s="3">
        <f t="shared" si="1"/>
        <v>8.930999999999982E-2</v>
      </c>
      <c r="G52" s="3">
        <v>8.7687122348477406E-2</v>
      </c>
      <c r="H52" s="3">
        <v>8.7900000000000214E-2</v>
      </c>
      <c r="J52" s="3">
        <v>7.9873580261815291E-2</v>
      </c>
      <c r="K52" s="3">
        <v>8.7900000000000214E-2</v>
      </c>
    </row>
    <row r="53" spans="1:11" x14ac:dyDescent="0.2">
      <c r="A53" s="3">
        <v>7.723084372860721E-2</v>
      </c>
      <c r="B53" s="4">
        <f t="shared" si="0"/>
        <v>8.860000000000022E-2</v>
      </c>
      <c r="D53" s="3">
        <v>9.2532445728642915E-2</v>
      </c>
      <c r="E53" s="3">
        <f t="shared" si="1"/>
        <v>9.0039999999999815E-2</v>
      </c>
      <c r="G53" s="3">
        <v>8.8043062329723643E-2</v>
      </c>
      <c r="H53" s="3">
        <v>8.860000000000022E-2</v>
      </c>
      <c r="J53" s="3">
        <v>8.0032945137525652E-2</v>
      </c>
      <c r="K53" s="3">
        <v>8.860000000000022E-2</v>
      </c>
    </row>
    <row r="54" spans="1:11" x14ac:dyDescent="0.2">
      <c r="A54" s="3">
        <v>7.7506654675076642E-2</v>
      </c>
      <c r="B54" s="4">
        <f t="shared" si="0"/>
        <v>8.9300000000000226E-2</v>
      </c>
      <c r="D54" s="3">
        <v>9.2878419776614998E-2</v>
      </c>
      <c r="E54" s="3">
        <f t="shared" si="1"/>
        <v>9.0769999999999809E-2</v>
      </c>
      <c r="G54" s="3">
        <v>8.8421854052222429E-2</v>
      </c>
      <c r="H54" s="3">
        <v>8.9300000000000226E-2</v>
      </c>
      <c r="J54" s="3">
        <v>8.0218962073075162E-2</v>
      </c>
      <c r="K54" s="3">
        <v>8.9300000000000226E-2</v>
      </c>
    </row>
    <row r="55" spans="1:11" x14ac:dyDescent="0.2">
      <c r="A55" s="3">
        <v>7.780842751066154E-2</v>
      </c>
      <c r="B55" s="4">
        <f t="shared" si="0"/>
        <v>9.0000000000000233E-2</v>
      </c>
      <c r="D55" s="3">
        <v>9.3249055866281502E-2</v>
      </c>
      <c r="E55" s="3">
        <f t="shared" si="1"/>
        <v>9.1499999999999804E-2</v>
      </c>
      <c r="G55" s="3">
        <v>8.8823204122570637E-2</v>
      </c>
      <c r="H55" s="3">
        <v>9.0000000000000233E-2</v>
      </c>
      <c r="J55" s="3">
        <v>8.0431446150908345E-2</v>
      </c>
      <c r="K55" s="3">
        <v>9.0000000000000233E-2</v>
      </c>
    </row>
    <row r="56" spans="1:11" x14ac:dyDescent="0.2">
      <c r="A56" s="3">
        <v>7.8135974785821877E-2</v>
      </c>
      <c r="B56" s="4">
        <f t="shared" si="0"/>
        <v>9.0700000000000239E-2</v>
      </c>
      <c r="D56" s="3">
        <v>9.3644061087314004E-2</v>
      </c>
      <c r="E56" s="3">
        <f t="shared" si="1"/>
        <v>9.2229999999999798E-2</v>
      </c>
      <c r="G56" s="3">
        <v>8.9246819588271381E-2</v>
      </c>
      <c r="H56" s="3">
        <v>9.0700000000000239E-2</v>
      </c>
      <c r="J56" s="3">
        <v>8.0670188229116993E-2</v>
      </c>
      <c r="K56" s="3">
        <v>9.0700000000000239E-2</v>
      </c>
    </row>
    <row r="57" spans="1:11" x14ac:dyDescent="0.2">
      <c r="A57" s="3">
        <v>7.8488045455967936E-2</v>
      </c>
      <c r="B57" s="4">
        <f t="shared" si="0"/>
        <v>9.1400000000000245E-2</v>
      </c>
      <c r="D57" s="3">
        <v>9.4063128428939519E-2</v>
      </c>
      <c r="E57" s="3">
        <f t="shared" si="1"/>
        <v>9.2959999999999793E-2</v>
      </c>
      <c r="G57" s="3">
        <v>8.9692385998840676E-2</v>
      </c>
      <c r="H57" s="3">
        <v>9.1400000000000245E-2</v>
      </c>
      <c r="J57" s="3">
        <v>8.0934955941614095E-2</v>
      </c>
      <c r="K57" s="3">
        <v>9.1400000000000245E-2</v>
      </c>
    </row>
    <row r="58" spans="1:11" x14ac:dyDescent="0.2">
      <c r="A58" s="3">
        <v>7.8864754337067411E-2</v>
      </c>
      <c r="B58" s="4">
        <f t="shared" si="0"/>
        <v>9.2100000000000251E-2</v>
      </c>
      <c r="D58" s="3">
        <v>9.4505937869208842E-2</v>
      </c>
      <c r="E58" s="3">
        <f t="shared" si="1"/>
        <v>9.3689999999999787E-2</v>
      </c>
      <c r="G58" s="3">
        <v>9.0159565278916193E-2</v>
      </c>
      <c r="H58" s="3">
        <v>9.2100000000000251E-2</v>
      </c>
      <c r="J58" s="3">
        <v>8.1225494780639673E-2</v>
      </c>
      <c r="K58" s="3">
        <v>9.2100000000000251E-2</v>
      </c>
    </row>
    <row r="59" spans="1:11" x14ac:dyDescent="0.2">
      <c r="A59" s="3">
        <v>7.9265160150371147E-2</v>
      </c>
      <c r="B59" s="4">
        <f t="shared" si="0"/>
        <v>9.2800000000000257E-2</v>
      </c>
      <c r="D59" s="3">
        <v>9.4972157279463468E-2</v>
      </c>
      <c r="E59" s="3">
        <f t="shared" si="1"/>
        <v>9.4419999999999782E-2</v>
      </c>
      <c r="G59" s="3">
        <v>9.0648022250394159E-2</v>
      </c>
      <c r="H59" s="3">
        <v>9.2800000000000257E-2</v>
      </c>
      <c r="J59" s="3">
        <v>8.1541529276826286E-2</v>
      </c>
      <c r="K59" s="3">
        <v>9.2800000000000257E-2</v>
      </c>
    </row>
    <row r="60" spans="1:11" x14ac:dyDescent="0.2">
      <c r="A60" s="3">
        <v>7.9690666273306066E-2</v>
      </c>
      <c r="B60" s="4">
        <f t="shared" si="0"/>
        <v>9.3500000000000263E-2</v>
      </c>
      <c r="D60" s="3">
        <v>9.5461443667945414E-2</v>
      </c>
      <c r="E60" s="3">
        <f t="shared" si="1"/>
        <v>9.5149999999999776E-2</v>
      </c>
      <c r="G60" s="3">
        <v>9.1157428712150032E-2</v>
      </c>
      <c r="H60" s="3">
        <v>9.3500000000000263E-2</v>
      </c>
      <c r="J60" s="3">
        <v>8.1882764221015272E-2</v>
      </c>
      <c r="K60" s="3">
        <v>9.3500000000000263E-2</v>
      </c>
    </row>
    <row r="61" spans="1:11" x14ac:dyDescent="0.2">
      <c r="A61" s="3">
        <v>8.0138464952468236E-2</v>
      </c>
      <c r="B61" s="4">
        <f t="shared" si="0"/>
        <v>9.420000000000027E-2</v>
      </c>
      <c r="D61" s="3">
        <v>9.5973444285046672E-2</v>
      </c>
      <c r="E61" s="3">
        <f t="shared" si="1"/>
        <v>9.5879999999999771E-2</v>
      </c>
      <c r="G61" s="3">
        <v>9.1687436488643956E-2</v>
      </c>
      <c r="H61" s="3">
        <v>9.420000000000027E-2</v>
      </c>
      <c r="J61" s="3">
        <v>8.2248885956834356E-2</v>
      </c>
      <c r="K61" s="3">
        <v>9.420000000000027E-2</v>
      </c>
    </row>
    <row r="62" spans="1:11" x14ac:dyDescent="0.2">
      <c r="A62" s="3">
        <v>8.0610035049279535E-2</v>
      </c>
      <c r="B62" s="4">
        <f t="shared" si="0"/>
        <v>9.4900000000000276E-2</v>
      </c>
      <c r="D62" s="3">
        <v>9.6507797526248565E-2</v>
      </c>
      <c r="E62" s="3">
        <f t="shared" si="1"/>
        <v>9.6609999999999766E-2</v>
      </c>
      <c r="G62" s="3">
        <v>9.223767543936888E-2</v>
      </c>
      <c r="H62" s="3">
        <v>9.4900000000000276E-2</v>
      </c>
      <c r="J62" s="3">
        <v>8.2639563715167452E-2</v>
      </c>
      <c r="K62" s="3">
        <v>9.4900000000000276E-2</v>
      </c>
    </row>
    <row r="63" spans="1:11" x14ac:dyDescent="0.2">
      <c r="A63" s="3">
        <v>8.1104348895316078E-2</v>
      </c>
      <c r="B63" s="4">
        <f t="shared" si="0"/>
        <v>9.5600000000000282E-2</v>
      </c>
      <c r="D63" s="3">
        <v>9.7064134271504274E-2</v>
      </c>
      <c r="E63" s="3">
        <f t="shared" si="1"/>
        <v>9.733999999999976E-2</v>
      </c>
      <c r="G63" s="3">
        <v>9.2807793018301402E-2</v>
      </c>
      <c r="H63" s="3">
        <v>9.5600000000000282E-2</v>
      </c>
      <c r="J63" s="3">
        <v>8.3054450970889551E-2</v>
      </c>
      <c r="K63" s="3">
        <v>9.5600000000000282E-2</v>
      </c>
    </row>
    <row r="64" spans="1:11" x14ac:dyDescent="0.2">
      <c r="A64" s="3">
        <v>8.1620993268902375E-2</v>
      </c>
      <c r="B64" s="4">
        <f t="shared" si="0"/>
        <v>9.6300000000000288E-2</v>
      </c>
      <c r="D64" s="3">
        <v>9.7642078754308692E-2</v>
      </c>
      <c r="E64" s="3">
        <f t="shared" si="1"/>
        <v>9.8069999999999755E-2</v>
      </c>
      <c r="G64" s="3">
        <v>9.3397416635175617E-2</v>
      </c>
      <c r="H64" s="3">
        <v>9.6300000000000288E-2</v>
      </c>
      <c r="J64" s="3">
        <v>8.3493186825442697E-2</v>
      </c>
      <c r="K64" s="3">
        <v>9.6300000000000288E-2</v>
      </c>
    </row>
    <row r="65" spans="1:11" x14ac:dyDescent="0.2">
      <c r="A65" s="3">
        <v>8.2159546907528747E-2</v>
      </c>
      <c r="B65" s="4">
        <f t="shared" si="0"/>
        <v>9.7000000000000294E-2</v>
      </c>
      <c r="D65" s="3">
        <v>9.824124962624102E-2</v>
      </c>
      <c r="E65" s="3">
        <f t="shared" si="1"/>
        <v>9.8799999999999749E-2</v>
      </c>
      <c r="G65" s="3">
        <v>9.4006195939303774E-2</v>
      </c>
      <c r="H65" s="3">
        <v>9.7000000000000294E-2</v>
      </c>
      <c r="J65" s="3">
        <v>8.3955397394153794E-2</v>
      </c>
      <c r="K65" s="3">
        <v>9.7000000000000294E-2</v>
      </c>
    </row>
    <row r="66" spans="1:11" x14ac:dyDescent="0.2">
      <c r="A66" s="3">
        <v>8.2719581885302457E-2</v>
      </c>
      <c r="B66" s="4">
        <f t="shared" si="0"/>
        <v>9.77000000000003E-2</v>
      </c>
      <c r="D66" s="3">
        <v>9.8861260946161225E-2</v>
      </c>
      <c r="E66" s="3">
        <f t="shared" si="1"/>
        <v>9.9529999999999744E-2</v>
      </c>
      <c r="G66" s="3">
        <v>9.4633762218133535E-2</v>
      </c>
      <c r="H66" s="3">
        <v>9.77000000000003E-2</v>
      </c>
      <c r="J66" s="3">
        <v>8.444069719099942E-2</v>
      </c>
      <c r="K66" s="3">
        <v>9.77000000000003E-2</v>
      </c>
    </row>
    <row r="67" spans="1:11" x14ac:dyDescent="0.2">
      <c r="A67" s="3">
        <v>8.3301511994340174E-2</v>
      </c>
      <c r="B67" s="4">
        <f t="shared" si="0"/>
        <v>9.8400000000000307E-2</v>
      </c>
      <c r="D67" s="3">
        <v>9.9501723134232223E-2</v>
      </c>
      <c r="E67" s="3">
        <f t="shared" si="1"/>
        <v>0.10025999999999974</v>
      </c>
      <c r="G67" s="3">
        <v>9.5279717140103082E-2</v>
      </c>
      <c r="H67" s="3">
        <v>9.8400000000000307E-2</v>
      </c>
      <c r="J67" s="3">
        <v>8.4948690500463442E-2</v>
      </c>
      <c r="K67" s="3">
        <v>9.8400000000000307E-2</v>
      </c>
    </row>
    <row r="68" spans="1:11" x14ac:dyDescent="0.2">
      <c r="A68" s="3">
        <v>8.3903236060352951E-2</v>
      </c>
      <c r="B68" s="4">
        <f t="shared" si="0"/>
        <v>9.9100000000000313E-2</v>
      </c>
      <c r="D68" s="3">
        <v>0.10016224388747769</v>
      </c>
      <c r="E68" s="3">
        <f t="shared" si="1"/>
        <v>0.10098999999999973</v>
      </c>
      <c r="G68" s="3">
        <v>9.5943716213013133E-2</v>
      </c>
      <c r="H68" s="3">
        <v>9.9100000000000313E-2</v>
      </c>
      <c r="J68" s="3">
        <v>8.5478972727418362E-2</v>
      </c>
      <c r="K68" s="3">
        <v>9.9100000000000313E-2</v>
      </c>
    </row>
    <row r="69" spans="1:11" x14ac:dyDescent="0.2">
      <c r="A69" s="3">
        <v>8.4525129816895569E-2</v>
      </c>
      <c r="B69" s="4">
        <f t="shared" si="0"/>
        <v>9.9800000000000319E-2</v>
      </c>
      <c r="D69" s="3">
        <v>0.10084242905416603</v>
      </c>
      <c r="E69" s="3">
        <f t="shared" si="1"/>
        <v>0.10171999999999973</v>
      </c>
      <c r="G69" s="3">
        <v>9.6625388400878726E-2</v>
      </c>
      <c r="H69" s="3">
        <v>9.9800000000000319E-2</v>
      </c>
      <c r="J69" s="3">
        <v>8.6031131716812967E-2</v>
      </c>
      <c r="K69" s="3">
        <v>9.9800000000000319E-2</v>
      </c>
    </row>
    <row r="70" spans="1:11" x14ac:dyDescent="0.2">
      <c r="A70" s="3">
        <v>8.5166750093560478E-2</v>
      </c>
      <c r="B70" s="4">
        <f t="shared" si="0"/>
        <v>0.10050000000000033</v>
      </c>
      <c r="D70" s="3">
        <v>0.10154188346486018</v>
      </c>
      <c r="E70" s="3">
        <f t="shared" si="1"/>
        <v>0.10244999999999972</v>
      </c>
      <c r="G70" s="3">
        <v>9.7324343072956704E-2</v>
      </c>
      <c r="H70" s="3">
        <v>0.10050000000000033</v>
      </c>
      <c r="J70" s="3">
        <v>8.6604749035871315E-2</v>
      </c>
      <c r="K70" s="3">
        <v>0.10050000000000033</v>
      </c>
    </row>
    <row r="71" spans="1:11" x14ac:dyDescent="0.2">
      <c r="A71" s="3">
        <v>8.5827653917702557E-2</v>
      </c>
      <c r="B71" s="4">
        <f t="shared" ref="B71:B99" si="2">B70+0.0007</f>
        <v>0.10120000000000033</v>
      </c>
      <c r="D71" s="3">
        <v>0.10226022162207363</v>
      </c>
      <c r="E71" s="3">
        <f t="shared" ref="E71:E105" si="3">E70+0.00073</f>
        <v>0.10317999999999972</v>
      </c>
      <c r="G71" s="3">
        <v>9.8040219957591532E-2</v>
      </c>
      <c r="H71" s="3">
        <v>0.10120000000000033</v>
      </c>
      <c r="J71" s="3">
        <v>8.7199401212431027E-2</v>
      </c>
      <c r="K71" s="3">
        <v>0.10120000000000033</v>
      </c>
    </row>
    <row r="72" spans="1:11" x14ac:dyDescent="0.2">
      <c r="A72" s="3">
        <v>8.650740671329997E-2</v>
      </c>
      <c r="B72" s="4">
        <f t="shared" si="2"/>
        <v>0.10190000000000034</v>
      </c>
      <c r="D72" s="3">
        <v>0.10299702907485725</v>
      </c>
      <c r="E72" s="3">
        <f t="shared" si="3"/>
        <v>0.10390999999999971</v>
      </c>
      <c r="G72" s="3">
        <v>9.8772651272082637E-2</v>
      </c>
      <c r="H72" s="3">
        <v>0.10190000000000034</v>
      </c>
      <c r="J72" s="3">
        <v>8.781466092399727E-2</v>
      </c>
      <c r="K72" s="3">
        <v>0.10190000000000034</v>
      </c>
    </row>
    <row r="73" spans="1:11" x14ac:dyDescent="0.2">
      <c r="A73" s="3">
        <v>8.720556347754084E-2</v>
      </c>
      <c r="B73" s="4">
        <f t="shared" si="2"/>
        <v>0.10260000000000034</v>
      </c>
      <c r="D73" s="3">
        <v>0.10375192178159953</v>
      </c>
      <c r="E73" s="3">
        <f t="shared" si="3"/>
        <v>0.10463999999999971</v>
      </c>
      <c r="G73" s="3">
        <v>9.9521271319634508E-2</v>
      </c>
      <c r="H73" s="3">
        <v>0.10260000000000034</v>
      </c>
      <c r="J73" s="3">
        <v>8.84500980990897E-2</v>
      </c>
      <c r="K73" s="3">
        <v>0.10260000000000034</v>
      </c>
    </row>
    <row r="74" spans="1:11" x14ac:dyDescent="0.2">
      <c r="A74" s="3">
        <v>8.7921681762276091E-2</v>
      </c>
      <c r="B74" s="4">
        <f t="shared" si="2"/>
        <v>0.10330000000000035</v>
      </c>
      <c r="D74" s="3">
        <v>0.10452450789924866</v>
      </c>
      <c r="E74" s="3">
        <f t="shared" si="3"/>
        <v>0.1053699999999997</v>
      </c>
      <c r="G74" s="3">
        <v>0.10028571769671422</v>
      </c>
      <c r="H74" s="3">
        <v>0.10330000000000035</v>
      </c>
      <c r="J74" s="3">
        <v>8.9105281129863587E-2</v>
      </c>
      <c r="K74" s="3">
        <v>0.10330000000000035</v>
      </c>
    </row>
    <row r="75" spans="1:11" x14ac:dyDescent="0.2">
      <c r="A75" s="3">
        <v>8.8655329933064769E-2</v>
      </c>
      <c r="B75" s="4">
        <f t="shared" si="2"/>
        <v>0.10400000000000036</v>
      </c>
      <c r="D75" s="3">
        <v>0.10531439803209165</v>
      </c>
      <c r="E75" s="3">
        <f t="shared" si="3"/>
        <v>0.10609999999999969</v>
      </c>
      <c r="G75" s="3">
        <v>0.10106563123439252</v>
      </c>
      <c r="H75" s="3">
        <v>0.10400000000000036</v>
      </c>
      <c r="J75" s="3">
        <v>8.9779777724536367E-2</v>
      </c>
      <c r="K75" s="3">
        <v>0.10400000000000036</v>
      </c>
    </row>
    <row r="76" spans="1:11" x14ac:dyDescent="0.2">
      <c r="A76" s="3">
        <v>8.9406076313888277E-2</v>
      </c>
      <c r="B76" s="4">
        <f t="shared" si="2"/>
        <v>0.10470000000000036</v>
      </c>
      <c r="D76" s="3">
        <v>0.10612120578480226</v>
      </c>
      <c r="E76" s="3">
        <f t="shared" si="3"/>
        <v>0.10682999999999969</v>
      </c>
      <c r="G76" s="3">
        <v>0.10186065665238711</v>
      </c>
      <c r="H76" s="3">
        <v>0.10470000000000036</v>
      </c>
      <c r="J76" s="3">
        <v>9.0473155817960768E-2</v>
      </c>
      <c r="K76" s="3">
        <v>0.10470000000000036</v>
      </c>
    </row>
    <row r="77" spans="1:11" x14ac:dyDescent="0.2">
      <c r="A77" s="3">
        <v>9.017349193890456E-2</v>
      </c>
      <c r="B77" s="4">
        <f t="shared" si="2"/>
        <v>0.10540000000000037</v>
      </c>
      <c r="D77" s="3">
        <v>0.10694454826991256</v>
      </c>
      <c r="E77" s="3">
        <f t="shared" si="3"/>
        <v>0.10755999999999968</v>
      </c>
      <c r="G77" s="3">
        <v>0.10267045456533415</v>
      </c>
      <c r="H77" s="3">
        <v>0.10540000000000037</v>
      </c>
      <c r="J77" s="3">
        <v>9.1184984786955928E-2</v>
      </c>
      <c r="K77" s="3">
        <v>0.10540000000000037</v>
      </c>
    </row>
    <row r="78" spans="1:11" x14ac:dyDescent="0.2">
      <c r="A78" s="3">
        <v>9.0957148314361733E-2</v>
      </c>
      <c r="B78" s="4">
        <f t="shared" si="2"/>
        <v>0.10610000000000037</v>
      </c>
      <c r="D78" s="3">
        <v>0.10778404657075995</v>
      </c>
      <c r="E78" s="3">
        <f t="shared" si="3"/>
        <v>0.10828999999999968</v>
      </c>
      <c r="G78" s="3">
        <v>0.10349465534283452</v>
      </c>
      <c r="H78" s="3">
        <v>0.10610000000000037</v>
      </c>
      <c r="J78" s="3">
        <v>9.1914835922618385E-2</v>
      </c>
      <c r="K78" s="3">
        <v>0.10610000000000037</v>
      </c>
    </row>
    <row r="79" spans="1:11" x14ac:dyDescent="0.2">
      <c r="A79" s="3">
        <v>9.1756645359436423E-2</v>
      </c>
      <c r="B79" s="4">
        <f t="shared" si="2"/>
        <v>0.10680000000000038</v>
      </c>
      <c r="D79" s="3">
        <v>0.10863932616118639</v>
      </c>
      <c r="E79" s="3">
        <f t="shared" si="3"/>
        <v>0.10901999999999967</v>
      </c>
      <c r="G79" s="3">
        <v>0.10433292884934339</v>
      </c>
      <c r="H79" s="3">
        <v>0.10680000000000038</v>
      </c>
      <c r="J79" s="3">
        <v>9.2662283373092055E-2</v>
      </c>
      <c r="K79" s="3">
        <v>0.10680000000000038</v>
      </c>
    </row>
    <row r="80" spans="1:11" x14ac:dyDescent="0.2">
      <c r="A80" s="3">
        <v>9.2572739644495333E-2</v>
      </c>
      <c r="B80" s="4">
        <f t="shared" si="2"/>
        <v>0.10750000000000039</v>
      </c>
      <c r="D80" s="3">
        <v>0.10951001728345358</v>
      </c>
      <c r="E80" s="3">
        <f t="shared" si="3"/>
        <v>0.10974999999999967</v>
      </c>
      <c r="G80" s="3">
        <v>0.1051849386267001</v>
      </c>
      <c r="H80" s="3">
        <v>0.10750000000000039</v>
      </c>
      <c r="J80" s="3">
        <v>9.3426904813423362E-2</v>
      </c>
      <c r="K80" s="3">
        <v>0.10750000000000039</v>
      </c>
    </row>
    <row r="81" spans="1:11" x14ac:dyDescent="0.2">
      <c r="A81" s="3">
        <v>9.3401502472029121E-2</v>
      </c>
      <c r="B81" s="4">
        <f t="shared" si="2"/>
        <v>0.10820000000000039</v>
      </c>
      <c r="D81" s="3">
        <v>0.11039575528599256</v>
      </c>
      <c r="E81" s="3">
        <f t="shared" si="3"/>
        <v>0.11047999999999966</v>
      </c>
      <c r="G81" s="3">
        <v>0.10605035360333932</v>
      </c>
      <c r="H81" s="3">
        <v>0.10820000000000039</v>
      </c>
      <c r="J81" s="3">
        <v>9.4208282073043062E-2</v>
      </c>
      <c r="K81" s="3">
        <v>0.10820000000000039</v>
      </c>
    </row>
    <row r="82" spans="1:11" x14ac:dyDescent="0.2">
      <c r="A82" s="3">
        <v>9.4246062105057871E-2</v>
      </c>
      <c r="B82" s="4">
        <f t="shared" si="2"/>
        <v>0.1089000000000004</v>
      </c>
      <c r="D82" s="3">
        <v>0.11129618092272529</v>
      </c>
      <c r="E82" s="3">
        <f t="shared" si="3"/>
        <v>0.11120999999999966</v>
      </c>
      <c r="G82" s="3">
        <v>0.10692884829995246</v>
      </c>
      <c r="H82" s="3">
        <v>0.1089000000000004</v>
      </c>
      <c r="J82" s="3">
        <v>9.5006001727951789E-2</v>
      </c>
      <c r="K82" s="3">
        <v>0.1089000000000004</v>
      </c>
    </row>
    <row r="83" spans="1:11" x14ac:dyDescent="0.2">
      <c r="A83" s="3">
        <v>9.5104853997939262E-2</v>
      </c>
      <c r="B83" s="4">
        <f t="shared" si="2"/>
        <v>0.10960000000000041</v>
      </c>
      <c r="D83" s="3">
        <v>0.11221094061578858</v>
      </c>
      <c r="E83" s="3">
        <f t="shared" si="3"/>
        <v>0.11193999999999965</v>
      </c>
      <c r="G83" s="3">
        <v>0.10782010300489173</v>
      </c>
      <c r="H83" s="3">
        <v>0.10960000000000041</v>
      </c>
      <c r="J83" s="3">
        <v>9.5819655617119345E-2</v>
      </c>
      <c r="K83" s="3">
        <v>0.10960000000000041</v>
      </c>
    </row>
    <row r="84" spans="1:11" x14ac:dyDescent="0.2">
      <c r="A84" s="3">
        <v>9.5977496107204102E-2</v>
      </c>
      <c r="B84" s="4">
        <f t="shared" si="2"/>
        <v>0.11030000000000041</v>
      </c>
      <c r="D84" s="3">
        <v>0.11313968668355438</v>
      </c>
      <c r="E84" s="3">
        <f t="shared" si="3"/>
        <v>0.11266999999999965</v>
      </c>
      <c r="G84" s="3">
        <v>0.10872379092371942</v>
      </c>
      <c r="H84" s="3">
        <v>0.11030000000000041</v>
      </c>
      <c r="J84" s="3">
        <v>9.6648841306716346E-2</v>
      </c>
      <c r="K84" s="3">
        <v>0.11030000000000041</v>
      </c>
    </row>
    <row r="85" spans="1:11" x14ac:dyDescent="0.2">
      <c r="A85" s="3">
        <v>9.6864889451190053E-2</v>
      </c>
      <c r="B85" s="4">
        <f t="shared" si="2"/>
        <v>0.11100000000000042</v>
      </c>
      <c r="D85" s="3">
        <v>0.11408207753587966</v>
      </c>
      <c r="E85" s="3">
        <f t="shared" si="3"/>
        <v>0.11339999999999964</v>
      </c>
      <c r="G85" s="3">
        <v>0.10963963011813134</v>
      </c>
      <c r="H85" s="3">
        <v>0.11100000000000042</v>
      </c>
      <c r="J85" s="3">
        <v>9.7493162500704042E-2</v>
      </c>
      <c r="K85" s="3">
        <v>0.11100000000000042</v>
      </c>
    </row>
    <row r="86" spans="1:11" x14ac:dyDescent="0.2">
      <c r="A86" s="3">
        <v>9.7762841556635505E-2</v>
      </c>
      <c r="B86" s="4">
        <f t="shared" si="2"/>
        <v>0.11170000000000042</v>
      </c>
      <c r="D86" s="3">
        <v>0.11503777783853814</v>
      </c>
      <c r="E86" s="3">
        <f t="shared" si="3"/>
        <v>0.11412999999999963</v>
      </c>
      <c r="G86" s="3">
        <v>0.1105673194705412</v>
      </c>
      <c r="H86" s="3">
        <v>0.11170000000000042</v>
      </c>
      <c r="J86" s="3">
        <v>9.8352229400077096E-2</v>
      </c>
      <c r="K86" s="3">
        <v>0.11170000000000042</v>
      </c>
    </row>
    <row r="87" spans="1:11" x14ac:dyDescent="0.2">
      <c r="A87" s="3">
        <v>9.867482006270932E-2</v>
      </c>
      <c r="B87" s="4">
        <f t="shared" si="2"/>
        <v>0.11240000000000043</v>
      </c>
      <c r="D87" s="3">
        <v>0.11600644529175702</v>
      </c>
      <c r="E87" s="3">
        <f t="shared" si="3"/>
        <v>0.11485999999999963</v>
      </c>
      <c r="G87" s="3">
        <v>0.11150653704430553</v>
      </c>
      <c r="H87" s="3">
        <v>0.11240000000000043</v>
      </c>
      <c r="J87" s="3">
        <v>9.922565901352394E-2</v>
      </c>
      <c r="K87" s="3">
        <v>0.11240000000000043</v>
      </c>
    </row>
    <row r="88" spans="1:11" x14ac:dyDescent="0.2">
      <c r="A88" s="3">
        <v>9.9599199359077156E-2</v>
      </c>
      <c r="B88" s="4">
        <f t="shared" si="2"/>
        <v>0.11310000000000044</v>
      </c>
      <c r="D88" s="3">
        <v>0.11698779752398111</v>
      </c>
      <c r="E88" s="3">
        <f t="shared" si="3"/>
        <v>0.11558999999999962</v>
      </c>
      <c r="G88" s="3">
        <v>0.11245700683459439</v>
      </c>
      <c r="H88" s="3">
        <v>0.11310000000000044</v>
      </c>
      <c r="J88" s="3">
        <v>0.10011307544871713</v>
      </c>
      <c r="K88" s="3">
        <v>0.11310000000000044</v>
      </c>
    </row>
    <row r="89" spans="1:11" x14ac:dyDescent="0.2">
      <c r="A89" s="3">
        <v>0.10053698362156288</v>
      </c>
      <c r="B89" s="4">
        <f t="shared" si="2"/>
        <v>0.11380000000000044</v>
      </c>
      <c r="D89" s="3">
        <v>0.11798147860519786</v>
      </c>
      <c r="E89" s="3">
        <f t="shared" si="3"/>
        <v>0.11631999999999962</v>
      </c>
      <c r="G89" s="3">
        <v>0.11341844595412555</v>
      </c>
      <c r="H89" s="3">
        <v>0.11380000000000044</v>
      </c>
      <c r="J89" s="3">
        <v>0.10101411000187531</v>
      </c>
      <c r="K89" s="3">
        <v>0.11380000000000044</v>
      </c>
    </row>
    <row r="90" spans="1:11" x14ac:dyDescent="0.2">
      <c r="A90" s="3">
        <v>0.1014851630831175</v>
      </c>
      <c r="B90" s="4">
        <f t="shared" si="2"/>
        <v>0.11450000000000045</v>
      </c>
      <c r="D90" s="3">
        <v>0.11898719267762518</v>
      </c>
      <c r="E90" s="3">
        <f t="shared" si="3"/>
        <v>0.11704999999999961</v>
      </c>
      <c r="G90" s="3">
        <v>0.11439056385285544</v>
      </c>
      <c r="H90" s="3">
        <v>0.11450000000000045</v>
      </c>
      <c r="J90" s="3">
        <v>0.10192840160415331</v>
      </c>
      <c r="K90" s="3">
        <v>0.11450000000000045</v>
      </c>
    </row>
    <row r="91" spans="1:11" x14ac:dyDescent="0.2">
      <c r="A91" s="3">
        <v>0.10244336263972673</v>
      </c>
      <c r="B91" s="4">
        <f t="shared" si="2"/>
        <v>0.11520000000000045</v>
      </c>
      <c r="D91" s="3">
        <v>0.12000463720962048</v>
      </c>
      <c r="E91" s="3">
        <f t="shared" si="3"/>
        <v>0.11777999999999961</v>
      </c>
      <c r="G91" s="3">
        <v>0.11537313212860965</v>
      </c>
      <c r="H91" s="3">
        <v>0.11520000000000045</v>
      </c>
      <c r="J91" s="3">
        <v>0.10285559672693818</v>
      </c>
      <c r="K91" s="3">
        <v>0.11520000000000045</v>
      </c>
    </row>
    <row r="92" spans="1:11" x14ac:dyDescent="0.2">
      <c r="A92" s="3">
        <v>0.10341400698656036</v>
      </c>
      <c r="B92" s="4">
        <f t="shared" si="2"/>
        <v>0.11590000000000046</v>
      </c>
      <c r="D92" s="3">
        <v>0.12103351637211797</v>
      </c>
      <c r="E92" s="3">
        <f t="shared" si="3"/>
        <v>0.1185099999999996</v>
      </c>
      <c r="G92" s="3">
        <v>0.11636584488254853</v>
      </c>
      <c r="H92" s="3">
        <v>0.11590000000000046</v>
      </c>
      <c r="J92" s="3">
        <v>0.10379534949701662</v>
      </c>
      <c r="K92" s="3">
        <v>0.11590000000000046</v>
      </c>
    </row>
    <row r="93" spans="1:11" x14ac:dyDescent="0.2">
      <c r="A93" s="3">
        <v>0.10439683384634996</v>
      </c>
      <c r="B93" s="4">
        <f t="shared" si="2"/>
        <v>0.11660000000000047</v>
      </c>
      <c r="D93" s="3">
        <v>0.12207354104007818</v>
      </c>
      <c r="E93" s="3">
        <f t="shared" si="3"/>
        <v>0.1192399999999996</v>
      </c>
      <c r="G93" s="3">
        <v>0.11736845831467542</v>
      </c>
      <c r="H93" s="3">
        <v>0.11660000000000047</v>
      </c>
      <c r="J93" s="3">
        <v>0.10474732200269704</v>
      </c>
      <c r="K93" s="3">
        <v>0.11660000000000047</v>
      </c>
    </row>
    <row r="94" spans="1:11" x14ac:dyDescent="0.2">
      <c r="A94" s="3">
        <v>0.10538731349325305</v>
      </c>
      <c r="B94" s="4">
        <f t="shared" si="2"/>
        <v>0.11730000000000047</v>
      </c>
      <c r="D94" s="3">
        <v>0.12312442877757579</v>
      </c>
      <c r="E94" s="3">
        <f t="shared" si="3"/>
        <v>0.11996999999999959</v>
      </c>
      <c r="G94" s="3">
        <v>0.11838072086690403</v>
      </c>
      <c r="H94" s="3">
        <v>0.11730000000000047</v>
      </c>
      <c r="J94" s="3">
        <v>0.10571118411340145</v>
      </c>
      <c r="K94" s="3">
        <v>0.11730000000000047</v>
      </c>
    </row>
    <row r="95" spans="1:11" x14ac:dyDescent="0.2">
      <c r="A95" s="3">
        <v>0.10639039927260333</v>
      </c>
      <c r="B95" s="4">
        <f t="shared" si="2"/>
        <v>0.11800000000000048</v>
      </c>
      <c r="D95" s="3">
        <v>0.12418590380804828</v>
      </c>
      <c r="E95" s="3">
        <f t="shared" si="3"/>
        <v>0.12069999999999959</v>
      </c>
      <c r="G95" s="3">
        <v>0.11940238713125707</v>
      </c>
      <c r="H95" s="3">
        <v>0.11800000000000048</v>
      </c>
      <c r="J95" s="3">
        <v>0.10668661350528562</v>
      </c>
      <c r="K95" s="3">
        <v>0.11800000000000048</v>
      </c>
    </row>
    <row r="96" spans="1:11" x14ac:dyDescent="0.2">
      <c r="A96" s="3">
        <v>0.10743466159616817</v>
      </c>
      <c r="B96" s="4">
        <f t="shared" si="2"/>
        <v>0.11870000000000049</v>
      </c>
      <c r="D96" s="3">
        <v>0.12525769697114861</v>
      </c>
      <c r="E96" s="3">
        <f t="shared" si="3"/>
        <v>0.12142999999999958</v>
      </c>
      <c r="G96" s="3">
        <v>0.12043321778557421</v>
      </c>
      <c r="H96" s="3">
        <v>0.11870000000000049</v>
      </c>
      <c r="J96" s="3">
        <v>0.1076732958824453</v>
      </c>
      <c r="K96" s="3">
        <v>0.11870000000000049</v>
      </c>
    </row>
    <row r="97" spans="1:11" x14ac:dyDescent="0.2">
      <c r="A97" s="3">
        <v>0.10853293772652425</v>
      </c>
      <c r="B97" s="4">
        <f t="shared" si="2"/>
        <v>0.11940000000000049</v>
      </c>
      <c r="D97" s="3">
        <v>0.12633954566756658</v>
      </c>
      <c r="E97" s="3">
        <f t="shared" si="3"/>
        <v>0.12215999999999957</v>
      </c>
      <c r="G97" s="3">
        <v>0.1214729795205617</v>
      </c>
      <c r="H97" s="3">
        <v>0.11940000000000049</v>
      </c>
      <c r="J97" s="3">
        <v>0.10867092472968651</v>
      </c>
      <c r="K97" s="3">
        <v>0.11940000000000049</v>
      </c>
    </row>
    <row r="98" spans="1:11" x14ac:dyDescent="0.2">
      <c r="A98" s="3">
        <v>0.10968360513396636</v>
      </c>
      <c r="B98" s="4">
        <f t="shared" si="2"/>
        <v>0.1201000000000005</v>
      </c>
      <c r="D98" s="3">
        <v>0.12743119379310147</v>
      </c>
      <c r="E98" s="3">
        <f t="shared" si="3"/>
        <v>0.12288999999999957</v>
      </c>
      <c r="G98" s="3">
        <v>0.12252142992000822</v>
      </c>
      <c r="H98" s="3">
        <v>0.1201000000000005</v>
      </c>
      <c r="J98" s="3">
        <v>0.10969371830143319</v>
      </c>
      <c r="K98" s="3">
        <v>0.1201000000000005</v>
      </c>
    </row>
    <row r="99" spans="1:11" x14ac:dyDescent="0.2">
      <c r="A99" s="3">
        <v>0.11094963357610479</v>
      </c>
      <c r="B99" s="4">
        <f t="shared" si="2"/>
        <v>0.1208000000000005</v>
      </c>
      <c r="D99" s="3">
        <v>0.12853239166318972</v>
      </c>
      <c r="E99" s="3">
        <f t="shared" si="3"/>
        <v>0.12361999999999956</v>
      </c>
      <c r="G99" s="3">
        <v>0.12357839256943255</v>
      </c>
      <c r="H99" s="3">
        <v>0.1208000000000005</v>
      </c>
      <c r="J99" s="3">
        <v>0.11094763308721609</v>
      </c>
      <c r="K99" s="3">
        <v>0.1208000000000005</v>
      </c>
    </row>
    <row r="100" spans="1:11" x14ac:dyDescent="0.2">
      <c r="A100" s="3">
        <v>0.11249158444580737</v>
      </c>
      <c r="B100" s="4">
        <f>B99+0.0007</f>
        <v>0.12150000000000051</v>
      </c>
      <c r="D100" s="3">
        <v>0.12964289592901351</v>
      </c>
      <c r="E100" s="3">
        <f t="shared" si="3"/>
        <v>0.12434999999999956</v>
      </c>
      <c r="G100" s="3">
        <v>0.12464359129579762</v>
      </c>
      <c r="H100" s="3">
        <v>0.12150000000000051</v>
      </c>
      <c r="J100" s="3">
        <v>0.11249158550318093</v>
      </c>
      <c r="K100" s="3">
        <v>0.12150000000000051</v>
      </c>
    </row>
    <row r="101" spans="1:11" x14ac:dyDescent="0.2">
      <c r="A101" s="3">
        <v>0.11431382292543352</v>
      </c>
      <c r="B101" s="4">
        <f t="shared" ref="B101:B102" si="4">B100+0.0007</f>
        <v>0.12220000000000052</v>
      </c>
      <c r="D101" s="3">
        <v>0.13076246948623763</v>
      </c>
      <c r="E101" s="3">
        <f t="shared" si="3"/>
        <v>0.12507999999999955</v>
      </c>
      <c r="G101" s="3">
        <v>0.12571687683826446</v>
      </c>
      <c r="H101" s="3">
        <v>0.12220000000000052</v>
      </c>
      <c r="J101" s="3">
        <v>0.11431382418099147</v>
      </c>
      <c r="K101" s="3">
        <v>0.12220000000000052</v>
      </c>
    </row>
    <row r="102" spans="1:11" x14ac:dyDescent="0.2">
      <c r="A102" s="3">
        <v>0.1164012788551254</v>
      </c>
      <c r="B102" s="4">
        <f t="shared" si="4"/>
        <v>0.12290000000000052</v>
      </c>
      <c r="D102" s="3">
        <v>0.13189088137735006</v>
      </c>
      <c r="E102" s="3">
        <f t="shared" si="3"/>
        <v>0.12580999999999956</v>
      </c>
      <c r="G102" s="3">
        <v>0.12679799879625087</v>
      </c>
      <c r="H102" s="3">
        <v>0.12290000000000052</v>
      </c>
      <c r="J102" s="3">
        <v>0.11640128030757133</v>
      </c>
      <c r="K102" s="3">
        <v>0.12290000000000052</v>
      </c>
    </row>
    <row r="103" spans="1:11" x14ac:dyDescent="0.2">
      <c r="A103" s="3">
        <v>0.11873996544117799</v>
      </c>
      <c r="B103" s="4">
        <f>B102+0.0007</f>
        <v>0.12360000000000053</v>
      </c>
      <c r="D103" s="3">
        <v>0.13302790668850656</v>
      </c>
      <c r="E103" s="3">
        <f t="shared" si="3"/>
        <v>0.12653999999999957</v>
      </c>
      <c r="G103" s="3">
        <v>0.12789104121166767</v>
      </c>
      <c r="H103" s="3">
        <v>0.12360000000000053</v>
      </c>
      <c r="J103" s="3">
        <v>0.11874021892863557</v>
      </c>
      <c r="K103" s="3">
        <v>0.12360000000000053</v>
      </c>
    </row>
    <row r="104" spans="1:11" x14ac:dyDescent="0.2">
      <c r="A104" s="3">
        <v>0.12131535407118825</v>
      </c>
      <c r="B104" s="4">
        <f t="shared" ref="B104" si="5">B103+0.0007</f>
        <v>0.12430000000000054</v>
      </c>
      <c r="D104" s="8">
        <v>0.13471546949721289</v>
      </c>
      <c r="E104" s="3">
        <f t="shared" si="3"/>
        <v>0.12726999999999958</v>
      </c>
      <c r="G104" s="3">
        <v>0.12902454971013608</v>
      </c>
      <c r="H104" s="3">
        <v>0.12430000000000054</v>
      </c>
      <c r="J104" s="3">
        <v>0.12131535585816666</v>
      </c>
      <c r="K104" s="3">
        <v>0.12430000000000054</v>
      </c>
    </row>
    <row r="105" spans="1:11" x14ac:dyDescent="0.2">
      <c r="D105" s="3">
        <v>0.13865066789069574</v>
      </c>
      <c r="E105" s="3">
        <f t="shared" si="3"/>
        <v>0.12799999999999959</v>
      </c>
    </row>
  </sheetData>
  <mergeCells count="4">
    <mergeCell ref="A3:B3"/>
    <mergeCell ref="D3:E3"/>
    <mergeCell ref="G3:H3"/>
    <mergeCell ref="J3:K3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3种资产的组合</vt:lpstr>
      <vt:lpstr>加入REITs</vt:lpstr>
      <vt:lpstr>加入Commodities</vt:lpstr>
      <vt:lpstr>5种资产的组合</vt:lpstr>
      <vt:lpstr>各种资产对比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 Elvis</dc:creator>
  <cp:lastModifiedBy>Yang Elvis</cp:lastModifiedBy>
  <dcterms:created xsi:type="dcterms:W3CDTF">2018-10-23T15:15:06Z</dcterms:created>
  <dcterms:modified xsi:type="dcterms:W3CDTF">2018-10-31T03:51:47Z</dcterms:modified>
</cp:coreProperties>
</file>